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sahib\Downloads\"/>
    </mc:Choice>
  </mc:AlternateContent>
  <xr:revisionPtr revIDLastSave="0" documentId="13_ncr:1_{CC9E9B83-A59B-4E5F-B40C-56595D6EA976}" xr6:coauthVersionLast="47" xr6:coauthVersionMax="47" xr10:uidLastSave="{00000000-0000-0000-0000-000000000000}"/>
  <bookViews>
    <workbookView xWindow="-120" yWindow="-120" windowWidth="20730" windowHeight="11760" activeTab="2" xr2:uid="{00000000-000D-0000-FFFF-FFFF00000000}"/>
  </bookViews>
  <sheets>
    <sheet name="bike_buyers" sheetId="1" r:id="rId1"/>
    <sheet name="Working Sheet" sheetId="5" r:id="rId2"/>
    <sheet name="Pivot_Table" sheetId="4" r:id="rId3"/>
    <sheet name="Dashboard" sheetId="3"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5" l="1"/>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<sst xmlns="http://schemas.openxmlformats.org/spreadsheetml/2006/main" count="16267" uniqueCount="51">
  <si>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</si>
  <si>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</si>
  <si>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</si>
  <si>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</si>
  <si>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</si>
  <si>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</si>
  <si>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</si>
  <si>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</si>
  <si>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</si>
  <si>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</si>
  <si>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</si>
  <si>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</si>
  <si>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</si>
  <si>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</si>
  <si>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</si>
  <si>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</si>
  <si>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</si>
  <si>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</si>
  <si>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</si>
  <si>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</si>
  <si>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</si>
  <si>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</si>
  <si>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</si>
  <si>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</si>
  <si>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</si>
  <si>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</si>
  <si>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</si>
  <si>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</si>
  <si>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</si>
  <si>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</si>
  <si>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</si>
  <si>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</si>
  <si>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</si>
  <si>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</si>
  <si>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</si>
  <si>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</si>
  <si>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</si>
  <si>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</si>
  <si>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</si>
  <si>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</si>
  <si>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 xml:space="preserve">Age Brackets </t>
  </si>
  <si>
    <t>Row Labels</t>
  </si>
  <si>
    <t>Grand Total</t>
  </si>
  <si>
    <t>Count of Purchased Bike</t>
  </si>
  <si>
    <t>Column Labels</t>
  </si>
  <si>
    <t>Average of Income</t>
  </si>
  <si>
    <t>More than 10 Miles</t>
  </si>
  <si>
    <t>Middle Age</t>
  </si>
  <si>
    <t>Adolescent</t>
  </si>
  <si>
    <t>Old Age</t>
  </si>
  <si>
    <t xml:space="preserve">       BIKES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</si>
</sst>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4" tint="0.59999389629810485"/>
      <name val="Calibri"/>
      <family val="2"/>
      <scheme val="minor"/>
    </font>
    <font>
      <sz val="36"/>
      <color theme="4" tint="0.59999389629810485"/>
      <name val="Calibri"/>
      <family val="2"/>
      <scheme val="minor"/>
    </font>
    <font>
      <b/>
      <sz val="7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xf numFmtId="0" fontId="0" fillId="33" borderId="0" xfId="0" applyFill="1"/>
    <xf numFmtId="0" fontId="21" fillId="33" borderId="0" xfId="0" applyFont="1" applyFill="1"/>
    <xf numFmtId="0" fontId="20"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200" b="1"/>
              <a:t>Average</a:t>
            </a:r>
            <a:r>
              <a:rPr lang="en-US" sz="1200" b="1" baseline="0"/>
              <a:t> Income of Male and Female who purchased(Yes) and Did Not Purchased (No) a bike.</a:t>
            </a:r>
            <a:endParaRPr lang="en-US" sz="1200" b="1"/>
          </a:p>
        </c:rich>
      </c:tx>
      <c:layout>
        <c:manualLayout>
          <c:xMode val="edge"/>
          <c:yMode val="edge"/>
          <c:x val="0.16406933508311461"/>
          <c:y val="8.23126275882181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Pivot_Table!$C$3:$C$4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Pivot_Table!$B$5:$B$7</c:f>
              <c:strCache>
                <c:ptCount val="2"/>
                <c:pt idx="0">
                  <c:v>Female</c:v>
                </c:pt>
                <c:pt idx="1">
                  <c:v>Male</c:v>
                </c:pt>
              </c:strCache>
            </c:strRef>
          </c:cat>
          <c:val>
            <c:numRef>
              <c:f>Pivot_Table!$C$5:$C$7</c:f>
              <c:numCache>
                <c:formatCode>"$"#,##0</c:formatCode>
                <c:ptCount val="2"/>
                <c:pt idx="0">
                  <c:v>53440</c:v>
                </c:pt>
                <c:pt idx="1">
                  <c:v>56208.178438661707</c:v>
                </c:pt>
              </c:numCache>
            </c:numRef>
          </c:val>
          <c:extLst>
            <c:ext xmlns:c16="http://schemas.microsoft.com/office/drawing/2014/chart" uri="{C3380CC4-5D6E-409C-BE32-E72D297353CC}">
              <c16:uniqueId val="{00000000-E551-4304-A619-B79654145974}"/>
            </c:ext>
          </c:extLst>
        </c:ser>
        <c:ser>
          <c:idx val="1"/>
          <c:order val="1"/>
          <c:tx>
            <c:strRef>
              <c:f>Pivot_Table!$D$3:$D$4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Pivot_Table!$B$5:$B$7</c:f>
              <c:strCache>
                <c:ptCount val="2"/>
                <c:pt idx="0">
                  <c:v>Female</c:v>
                </c:pt>
                <c:pt idx="1">
                  <c:v>Male</c:v>
                </c:pt>
              </c:strCache>
            </c:strRef>
          </c:cat>
          <c:val>
            <c:numRef>
              <c:f>Pivot_Table!$D$5:$D$7</c:f>
              <c:numCache>
                <c:formatCode>"$"#,##0</c:formatCode>
                <c:ptCount val="2"/>
                <c:pt idx="0">
                  <c:v>55774.058577405856</c:v>
                </c:pt>
                <c:pt idx="1">
                  <c:v>60123.966942148763</c:v>
                </c:pt>
              </c:numCache>
            </c:numRef>
          </c:val>
          <c:extLst>
            <c:ext xmlns:c16="http://schemas.microsoft.com/office/drawing/2014/chart" uri="{C3380CC4-5D6E-409C-BE32-E72D297353CC}">
              <c16:uniqueId val="{00000001-E551-4304-A619-B79654145974}"/>
            </c:ext>
          </c:extLst>
        </c:ser>
        <c:dLbls>
          <c:dLblPos val="outEnd"/>
          <c:showLegendKey val="0"/>
          <c:showVal val="1"/>
          <c:showCatName val="0"/>
          <c:showSerName val="0"/>
          <c:showPercent val="0"/>
          <c:showBubbleSize val="0"/>
        </c:dLbls>
        <c:gapWidth val="100"/>
        <c:overlap val="-24"/>
        <c:axId val="533473615"/>
        <c:axId val="533474095"/>
      </c:barChart>
      <c:catAx>
        <c:axId val="533473615"/>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474095"/>
        <c:crosses val="autoZero"/>
        <c:auto val="1"/>
        <c:lblAlgn val="ctr"/>
        <c:lblOffset val="100"/>
        <c:noMultiLvlLbl val="0"/>
      </c:catAx>
      <c:valAx>
        <c:axId val="5334740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473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Count of Buyer</a:t>
            </a:r>
            <a:r>
              <a:rPr lang="en-US" sz="1200" b="1" baseline="0"/>
              <a:t> according to their Commute Distance</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Pivot_Table!$C$23:$C$24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Pivot_Table!$B$25:$B$30</c:f>
              <c:strCache>
                <c:ptCount val="5"/>
                <c:pt idx="0">
                  <c:v>0-1 Miles</c:v>
                </c:pt>
                <c:pt idx="1">
                  <c:v>1-2 Miles</c:v>
                </c:pt>
                <c:pt idx="2">
                  <c:v>2-5 Miles</c:v>
                </c:pt>
                <c:pt idx="3">
                  <c:v>5-10 Miles</c:v>
                </c:pt>
                <c:pt idx="4">
                  <c:v>More than 10 Miles</c:v>
                </c:pt>
              </c:strCache>
            </c:strRef>
          </c:cat>
          <c:val>
            <c:numRef>
              <c:f>Pivot_Table!$C$25:$C$30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AC1-47C1-825F-B18CD086DB53}"/>
            </c:ext>
          </c:extLst>
        </c:ser>
        <c:ser>
          <c:idx val="1"/>
          <c:order val="1"/>
          <c:tx>
            <c:strRef>
              <c:f>Pivot_Table!$D$23:$D$24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Pivot_Table!$B$25:$B$30</c:f>
              <c:strCache>
                <c:ptCount val="5"/>
                <c:pt idx="0">
                  <c:v>0-1 Miles</c:v>
                </c:pt>
                <c:pt idx="1">
                  <c:v>1-2 Miles</c:v>
                </c:pt>
                <c:pt idx="2">
                  <c:v>2-5 Miles</c:v>
                </c:pt>
                <c:pt idx="3">
                  <c:v>5-10 Miles</c:v>
                </c:pt>
                <c:pt idx="4">
                  <c:v>More than 10 Miles</c:v>
                </c:pt>
              </c:strCache>
            </c:strRef>
          </c:cat>
          <c:val>
            <c:numRef>
              <c:f>Pivot_Table!$D$25:$D$30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AC1-47C1-825F-B18CD086DB53}"/>
            </c:ext>
          </c:extLst>
        </c:ser>
        <c:dLbls>
          <c:showLegendKey val="0"/>
          <c:showVal val="0"/>
          <c:showCatName val="0"/>
          <c:showSerName val="0"/>
          <c:showPercent val="0"/>
          <c:showBubbleSize val="0"/>
        </c:dLbls>
        <c:marker val="1"/>
        <c:smooth val="0"/>
        <c:axId val="677764495"/>
        <c:axId val="677768815"/>
      </c:lineChart>
      <c:catAx>
        <c:axId val="6777644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768815"/>
        <c:crosses val="autoZero"/>
        <c:auto val="1"/>
        <c:lblAlgn val="ctr"/>
        <c:lblOffset val="100"/>
        <c:noMultiLvlLbl val="0"/>
      </c:catAx>
      <c:valAx>
        <c:axId val="6777688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Purchased Bike</a:t>
                </a:r>
              </a:p>
            </c:rich>
          </c:tx>
          <c:layout>
            <c:manualLayout>
              <c:xMode val="edge"/>
              <c:yMode val="edge"/>
              <c:x val="1.9444444444444445E-2"/>
              <c:y val="0.2519885535141440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764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t>
            </a:r>
            <a:r>
              <a:rPr lang="en-US"/>
              <a:t>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Pivot_Table!$C$44:$C$45</c:f>
              <c:strCache>
                <c:ptCount val="1"/>
                <c:pt idx="0">
                  <c:v>Yes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Pivot_Table!$B$46:$B$49</c:f>
              <c:strCache>
                <c:ptCount val="3"/>
                <c:pt idx="0">
                  <c:v>Adolescent</c:v>
                </c:pt>
                <c:pt idx="1">
                  <c:v>Middle Age</c:v>
                </c:pt>
                <c:pt idx="2">
                  <c:v>Old Age</c:v>
                </c:pt>
              </c:strCache>
            </c:strRef>
          </c:cat>
          <c:val>
            <c:numRef>
              <c:f>Pivot_Table!$C$46:$C$49</c:f>
              <c:numCache>
                <c:formatCode>General</c:formatCode>
                <c:ptCount val="3"/>
                <c:pt idx="0">
                  <c:v>39</c:v>
                </c:pt>
                <c:pt idx="1">
                  <c:v>383</c:v>
                </c:pt>
                <c:pt idx="2">
                  <c:v>59</c:v>
                </c:pt>
              </c:numCache>
            </c:numRef>
          </c:val>
          <c:smooth val="0"/>
          <c:extLst>
            <c:ext xmlns:c16="http://schemas.microsoft.com/office/drawing/2014/chart" uri="{C3380CC4-5D6E-409C-BE32-E72D297353CC}">
              <c16:uniqueId val="{00000000-769F-4E6E-8B63-1B32933ADF01}"/>
            </c:ext>
          </c:extLst>
        </c:ser>
        <c:ser>
          <c:idx val="1"/>
          <c:order val="1"/>
          <c:tx>
            <c:strRef>
              <c:f>Pivot_Table!$D$44:$D$45</c:f>
              <c:strCache>
                <c:ptCount val="1"/>
                <c:pt idx="0">
                  <c:v>No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Pivot_Table!$B$46:$B$49</c:f>
              <c:strCache>
                <c:ptCount val="3"/>
                <c:pt idx="0">
                  <c:v>Adolescent</c:v>
                </c:pt>
                <c:pt idx="1">
                  <c:v>Middle Age</c:v>
                </c:pt>
                <c:pt idx="2">
                  <c:v>Old Age</c:v>
                </c:pt>
              </c:strCache>
            </c:strRef>
          </c:cat>
          <c:val>
            <c:numRef>
              <c:f>Pivot_Table!$D$46:$D$49</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1-769F-4E6E-8B63-1B32933ADF01}"/>
            </c:ext>
          </c:extLst>
        </c:ser>
        <c:dLbls>
          <c:showLegendKey val="0"/>
          <c:showVal val="0"/>
          <c:showCatName val="0"/>
          <c:showSerName val="0"/>
          <c:showPercent val="0"/>
          <c:showBubbleSize val="0"/>
        </c:dLbls>
        <c:marker val="1"/>
        <c:smooth val="0"/>
        <c:axId val="677762575"/>
        <c:axId val="677789455"/>
      </c:lineChart>
      <c:catAx>
        <c:axId val="6777625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Age</a:t>
                </a:r>
                <a:r>
                  <a:rPr lang="en-US" b="1" baseline="0"/>
                  <a:t> Range</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789455"/>
        <c:crosses val="autoZero"/>
        <c:auto val="1"/>
        <c:lblAlgn val="ctr"/>
        <c:lblOffset val="100"/>
        <c:noMultiLvlLbl val="0"/>
      </c:catAx>
      <c:valAx>
        <c:axId val="6777894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Count</a:t>
                </a:r>
                <a:r>
                  <a:rPr lang="en-US" b="1" baseline="0"/>
                  <a:t> of purchases </a:t>
                </a:r>
                <a:endParaRPr lang="en-US" b="1"/>
              </a:p>
            </c:rich>
          </c:tx>
          <c:layout>
            <c:manualLayout>
              <c:xMode val="edge"/>
              <c:yMode val="edge"/>
              <c:x val="1.9444444444444445E-2"/>
              <c:y val="0.2754090113735783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762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Dataset.xlsx]Pivot_Table!PivotTable2</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a:t>Average</a:t>
            </a:r>
            <a:r>
              <a:rPr lang="en-US" sz="1600" b="1" baseline="0"/>
              <a:t> Income of Male and Female </a:t>
            </a:r>
            <a:endParaRPr lang="en-US" sz="1600" b="1"/>
          </a:p>
        </c:rich>
      </c:tx>
      <c:layout>
        <c:manualLayout>
          <c:xMode val="edge"/>
          <c:yMode val="edge"/>
          <c:x val="0.22995951665950567"/>
          <c:y val="8.231260756408886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Pivot_Table!$C$3:$C$4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Pivot_Table!$B$5:$B$7</c:f>
              <c:strCache>
                <c:ptCount val="2"/>
                <c:pt idx="0">
                  <c:v>Female</c:v>
                </c:pt>
                <c:pt idx="1">
                  <c:v>Male</c:v>
                </c:pt>
              </c:strCache>
            </c:strRef>
          </c:cat>
          <c:val>
            <c:numRef>
              <c:f>Pivot_Table!$C$5:$C$7</c:f>
              <c:numCache>
                <c:formatCode>"$"#,##0</c:formatCode>
                <c:ptCount val="2"/>
                <c:pt idx="0">
                  <c:v>53440</c:v>
                </c:pt>
                <c:pt idx="1">
                  <c:v>56208.178438661707</c:v>
                </c:pt>
              </c:numCache>
            </c:numRef>
          </c:val>
          <c:extLst>
            <c:ext xmlns:c16="http://schemas.microsoft.com/office/drawing/2014/chart" uri="{C3380CC4-5D6E-409C-BE32-E72D297353CC}">
              <c16:uniqueId val="{00000000-15E6-41D7-BF46-D81952FE99C4}"/>
            </c:ext>
          </c:extLst>
        </c:ser>
        <c:ser>
          <c:idx val="1"/>
          <c:order val="1"/>
          <c:tx>
            <c:strRef>
              <c:f>Pivot_Table!$D$3:$D$4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Pivot_Table!$B$5:$B$7</c:f>
              <c:strCache>
                <c:ptCount val="2"/>
                <c:pt idx="0">
                  <c:v>Female</c:v>
                </c:pt>
                <c:pt idx="1">
                  <c:v>Male</c:v>
                </c:pt>
              </c:strCache>
            </c:strRef>
          </c:cat>
          <c:val>
            <c:numRef>
              <c:f>Pivot_Table!$D$5:$D$7</c:f>
              <c:numCache>
                <c:formatCode>"$"#,##0</c:formatCode>
                <c:ptCount val="2"/>
                <c:pt idx="0">
                  <c:v>55774.058577405856</c:v>
                </c:pt>
                <c:pt idx="1">
                  <c:v>60123.966942148763</c:v>
                </c:pt>
              </c:numCache>
            </c:numRef>
          </c:val>
          <c:extLst>
            <c:ext xmlns:c16="http://schemas.microsoft.com/office/drawing/2014/chart" uri="{C3380CC4-5D6E-409C-BE32-E72D297353CC}">
              <c16:uniqueId val="{00000001-15E6-41D7-BF46-D81952FE99C4}"/>
            </c:ext>
          </c:extLst>
        </c:ser>
        <c:dLbls>
          <c:dLblPos val="outEnd"/>
          <c:showLegendKey val="0"/>
          <c:showVal val="1"/>
          <c:showCatName val="0"/>
          <c:showSerName val="0"/>
          <c:showPercent val="0"/>
          <c:showBubbleSize val="0"/>
        </c:dLbls>
        <c:gapWidth val="100"/>
        <c:overlap val="-24"/>
        <c:axId val="533473615"/>
        <c:axId val="533474095"/>
      </c:barChart>
      <c:catAx>
        <c:axId val="533473615"/>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Gender</a:t>
                </a:r>
              </a:p>
            </c:rich>
          </c:tx>
          <c:layout>
            <c:manualLayout>
              <c:xMode val="edge"/>
              <c:yMode val="edge"/>
              <c:x val="0.42106228992589712"/>
              <c:y val="0.88558113481228007"/>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533474095"/>
        <c:crosses val="autoZero"/>
        <c:auto val="1"/>
        <c:lblAlgn val="ctr"/>
        <c:lblOffset val="100"/>
        <c:noMultiLvlLbl val="0"/>
      </c:catAx>
      <c:valAx>
        <c:axId val="5334740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sz="1100" b="1"/>
                  <a:t>Income</a:t>
                </a:r>
              </a:p>
            </c:rich>
          </c:tx>
          <c:layout>
            <c:manualLayout>
              <c:xMode val="edge"/>
              <c:yMode val="edge"/>
              <c:x val="2.4403760408107738E-3"/>
              <c:y val="0.41078300843305032"/>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533473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Dataset.xlsx]Pivot_Table!PivotTable3</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Count of Buyer according to their Commute Distance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Pivot_Table!$C$23:$C$24</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Pivot_Table!$B$25:$B$30</c:f>
              <c:strCache>
                <c:ptCount val="5"/>
                <c:pt idx="0">
                  <c:v>0-1 Miles</c:v>
                </c:pt>
                <c:pt idx="1">
                  <c:v>1-2 Miles</c:v>
                </c:pt>
                <c:pt idx="2">
                  <c:v>2-5 Miles</c:v>
                </c:pt>
                <c:pt idx="3">
                  <c:v>5-10 Miles</c:v>
                </c:pt>
                <c:pt idx="4">
                  <c:v>More than 10 Miles</c:v>
                </c:pt>
              </c:strCache>
            </c:strRef>
          </c:cat>
          <c:val>
            <c:numRef>
              <c:f>Pivot_Table!$C$25:$C$30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B1B-4F91-B6D6-426A0F0379B8}"/>
            </c:ext>
          </c:extLst>
        </c:ser>
        <c:ser>
          <c:idx val="1"/>
          <c:order val="1"/>
          <c:tx>
            <c:strRef>
              <c:f>Pivot_Table!$D$23:$D$24</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Pivot_Table!$B$25:$B$30</c:f>
              <c:strCache>
                <c:ptCount val="5"/>
                <c:pt idx="0">
                  <c:v>0-1 Miles</c:v>
                </c:pt>
                <c:pt idx="1">
                  <c:v>1-2 Miles</c:v>
                </c:pt>
                <c:pt idx="2">
                  <c:v>2-5 Miles</c:v>
                </c:pt>
                <c:pt idx="3">
                  <c:v>5-10 Miles</c:v>
                </c:pt>
                <c:pt idx="4">
                  <c:v>More than 10 Miles</c:v>
                </c:pt>
              </c:strCache>
            </c:strRef>
          </c:cat>
          <c:val>
            <c:numRef>
              <c:f>Pivot_Table!$D$25:$D$30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B1B-4F91-B6D6-426A0F0379B8}"/>
            </c:ext>
          </c:extLst>
        </c:ser>
        <c:dLbls>
          <c:showLegendKey val="0"/>
          <c:showVal val="0"/>
          <c:showCatName val="0"/>
          <c:showSerName val="0"/>
          <c:showPercent val="0"/>
          <c:showBubbleSize val="0"/>
        </c:dLbls>
        <c:marker val="1"/>
        <c:smooth val="0"/>
        <c:axId val="677764495"/>
        <c:axId val="677768815"/>
      </c:lineChart>
      <c:catAx>
        <c:axId val="677764495"/>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b="1"/>
                  <a:t>Commute Distance</a:t>
                </a:r>
              </a:p>
            </c:rich>
          </c:tx>
          <c:layout>
            <c:manualLayout>
              <c:xMode val="edge"/>
              <c:yMode val="edge"/>
              <c:x val="0.41996513468695945"/>
              <c:y val="0.8944135735313534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677768815"/>
        <c:crosses val="autoZero"/>
        <c:auto val="1"/>
        <c:lblAlgn val="ctr"/>
        <c:lblOffset val="100"/>
        <c:noMultiLvlLbl val="0"/>
      </c:catAx>
      <c:valAx>
        <c:axId val="6777688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Count of Purchased Bike</a:t>
                </a:r>
              </a:p>
            </c:rich>
          </c:tx>
          <c:layout>
            <c:manualLayout>
              <c:xMode val="edge"/>
              <c:yMode val="edge"/>
              <c:x val="1.4799057828408777E-3"/>
              <c:y val="0.26084526791675267"/>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677764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Dataset.xlsx]Pivot_Table!PivotTable4</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Pivot_Table!$C$44:$C$45</c:f>
              <c:strCache>
                <c:ptCount val="1"/>
                <c:pt idx="0">
                  <c:v>Yes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Pivot_Table!$B$46:$B$49</c:f>
              <c:strCache>
                <c:ptCount val="3"/>
                <c:pt idx="0">
                  <c:v>Adolescent</c:v>
                </c:pt>
                <c:pt idx="1">
                  <c:v>Middle Age</c:v>
                </c:pt>
                <c:pt idx="2">
                  <c:v>Old Age</c:v>
                </c:pt>
              </c:strCache>
            </c:strRef>
          </c:cat>
          <c:val>
            <c:numRef>
              <c:f>Pivot_Table!$C$46:$C$49</c:f>
              <c:numCache>
                <c:formatCode>General</c:formatCode>
                <c:ptCount val="3"/>
                <c:pt idx="0">
                  <c:v>39</c:v>
                </c:pt>
                <c:pt idx="1">
                  <c:v>383</c:v>
                </c:pt>
                <c:pt idx="2">
                  <c:v>59</c:v>
                </c:pt>
              </c:numCache>
            </c:numRef>
          </c:val>
          <c:smooth val="0"/>
          <c:extLst>
            <c:ext xmlns:c16="http://schemas.microsoft.com/office/drawing/2014/chart" uri="{C3380CC4-5D6E-409C-BE32-E72D297353CC}">
              <c16:uniqueId val="{00000000-657B-4A96-8E91-35ED544D246F}"/>
            </c:ext>
          </c:extLst>
        </c:ser>
        <c:ser>
          <c:idx val="1"/>
          <c:order val="1"/>
          <c:tx>
            <c:strRef>
              <c:f>Pivot_Table!$D$44:$D$45</c:f>
              <c:strCache>
                <c:ptCount val="1"/>
                <c:pt idx="0">
                  <c:v>No</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Pivot_Table!$B$46:$B$49</c:f>
              <c:strCache>
                <c:ptCount val="3"/>
                <c:pt idx="0">
                  <c:v>Adolescent</c:v>
                </c:pt>
                <c:pt idx="1">
                  <c:v>Middle Age</c:v>
                </c:pt>
                <c:pt idx="2">
                  <c:v>Old Age</c:v>
                </c:pt>
              </c:strCache>
            </c:strRef>
          </c:cat>
          <c:val>
            <c:numRef>
              <c:f>Pivot_Table!$D$46:$D$49</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1-657B-4A96-8E91-35ED544D246F}"/>
            </c:ext>
          </c:extLst>
        </c:ser>
        <c:dLbls>
          <c:showLegendKey val="0"/>
          <c:showVal val="0"/>
          <c:showCatName val="0"/>
          <c:showSerName val="0"/>
          <c:showPercent val="0"/>
          <c:showBubbleSize val="0"/>
        </c:dLbls>
        <c:marker val="1"/>
        <c:smooth val="0"/>
        <c:axId val="677762575"/>
        <c:axId val="677789455"/>
      </c:lineChart>
      <c:catAx>
        <c:axId val="677762575"/>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Age Range</a:t>
                </a:r>
              </a:p>
            </c:rich>
          </c:tx>
          <c:layout>
            <c:manualLayout>
              <c:xMode val="edge"/>
              <c:yMode val="edge"/>
              <c:x val="0.40237864087307496"/>
              <c:y val="0.87660477701303008"/>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677789455"/>
        <c:crosses val="autoZero"/>
        <c:auto val="1"/>
        <c:lblAlgn val="ctr"/>
        <c:lblOffset val="100"/>
        <c:noMultiLvlLbl val="0"/>
      </c:catAx>
      <c:valAx>
        <c:axId val="6777894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Count of purchases </a:t>
                </a:r>
              </a:p>
            </c:rich>
          </c:tx>
          <c:layout>
            <c:manualLayout>
              <c:xMode val="edge"/>
              <c:yMode val="edge"/>
              <c:x val="1.9444444444444445E-2"/>
              <c:y val="0.27540901137357832"/>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677762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14363</xdr:colOff>
      <xdr:row>1</xdr:row>
      <xdr:rowOff>28218</xdr:rowOff>
    </xdr:from>
    <xdr:to>
      <xdr:col>15</xdr:col>
      <xdr:colOff>22208</xdr:colOff>
      <xdr:row>15</xdr:row>
      <xdr:rowOff>104418</xdr:rowOff>
    </xdr:to>
    <xdr:graphicFrame macro="">
      <xdr:nvGraphicFramePr>
        <xdr:cNvPr id="2" name="Chart 1">
          <a:extLst>
            <a:ext uri="{FF2B5EF4-FFF2-40B4-BE49-F238E27FC236}">
              <a16:creationId xmlns:a16="http://schemas.microsoft.com/office/drawing/2014/main" id="{47510DDF-305C-E697-FED9-1EFAB010E9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6061</xdr:colOff>
      <xdr:row>20</xdr:row>
      <xdr:rowOff>435</xdr:rowOff>
    </xdr:from>
    <xdr:to>
      <xdr:col>15</xdr:col>
      <xdr:colOff>25112</xdr:colOff>
      <xdr:row>34</xdr:row>
      <xdr:rowOff>76635</xdr:rowOff>
    </xdr:to>
    <xdr:graphicFrame macro="">
      <xdr:nvGraphicFramePr>
        <xdr:cNvPr id="3" name="Chart 2">
          <a:extLst>
            <a:ext uri="{FF2B5EF4-FFF2-40B4-BE49-F238E27FC236}">
              <a16:creationId xmlns:a16="http://schemas.microsoft.com/office/drawing/2014/main" id="{88F36AF5-0E46-50F0-655C-96CF9EA06C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xdr:colOff>
      <xdr:row>40</xdr:row>
      <xdr:rowOff>158462</xdr:rowOff>
    </xdr:from>
    <xdr:to>
      <xdr:col>14</xdr:col>
      <xdr:colOff>554182</xdr:colOff>
      <xdr:row>55</xdr:row>
      <xdr:rowOff>134216</xdr:rowOff>
    </xdr:to>
    <xdr:graphicFrame macro="">
      <xdr:nvGraphicFramePr>
        <xdr:cNvPr id="4" name="Chart 3">
          <a:extLst>
            <a:ext uri="{FF2B5EF4-FFF2-40B4-BE49-F238E27FC236}">
              <a16:creationId xmlns:a16="http://schemas.microsoft.com/office/drawing/2014/main" id="{D42AECCD-D5D3-D964-F2CB-859C1F65CB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306778</xdr:colOff>
      <xdr:row>5</xdr:row>
      <xdr:rowOff>48491</xdr:rowOff>
    </xdr:from>
    <xdr:to>
      <xdr:col>12</xdr:col>
      <xdr:colOff>1</xdr:colOff>
      <xdr:row>25</xdr:row>
      <xdr:rowOff>108858</xdr:rowOff>
    </xdr:to>
    <xdr:graphicFrame macro="">
      <xdr:nvGraphicFramePr>
        <xdr:cNvPr id="2" name="Chart 1">
          <a:extLst>
            <a:ext uri="{FF2B5EF4-FFF2-40B4-BE49-F238E27FC236}">
              <a16:creationId xmlns:a16="http://schemas.microsoft.com/office/drawing/2014/main" id="{4811D0A3-E9EE-4D73-930D-702C568C88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323823</xdr:colOff>
      <xdr:row>26</xdr:row>
      <xdr:rowOff>62397</xdr:rowOff>
    </xdr:from>
    <xdr:to>
      <xdr:col>21</xdr:col>
      <xdr:colOff>606135</xdr:colOff>
      <xdr:row>48</xdr:row>
      <xdr:rowOff>173181</xdr:rowOff>
    </xdr:to>
    <xdr:graphicFrame macro="">
      <xdr:nvGraphicFramePr>
        <xdr:cNvPr id="3" name="Chart 2">
          <a:extLst>
            <a:ext uri="{FF2B5EF4-FFF2-40B4-BE49-F238E27FC236}">
              <a16:creationId xmlns:a16="http://schemas.microsoft.com/office/drawing/2014/main" id="{EE2AD351-34BB-4427-B8E5-FC0503BBEF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55110</xdr:colOff>
      <xdr:row>5</xdr:row>
      <xdr:rowOff>34883</xdr:rowOff>
    </xdr:from>
    <xdr:to>
      <xdr:col>21</xdr:col>
      <xdr:colOff>588509</xdr:colOff>
      <xdr:row>25</xdr:row>
      <xdr:rowOff>122465</xdr:rowOff>
    </xdr:to>
    <xdr:graphicFrame macro="">
      <xdr:nvGraphicFramePr>
        <xdr:cNvPr id="4" name="Chart 3">
          <a:extLst>
            <a:ext uri="{FF2B5EF4-FFF2-40B4-BE49-F238E27FC236}">
              <a16:creationId xmlns:a16="http://schemas.microsoft.com/office/drawing/2014/main" id="{E2BDD25C-C17B-434B-AFD6-9B9328CC48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145676</xdr:colOff>
      <xdr:row>5</xdr:row>
      <xdr:rowOff>115663</xdr:rowOff>
    </xdr:from>
    <xdr:to>
      <xdr:col>3</xdr:col>
      <xdr:colOff>154902</xdr:colOff>
      <xdr:row>11</xdr:row>
      <xdr:rowOff>67236</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D9B18D9E-C99B-1918-70DE-17B25B89413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45676" y="2453618"/>
              <a:ext cx="1827635" cy="10945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145810</xdr:colOff>
      <xdr:row>18</xdr:row>
      <xdr:rowOff>135210</xdr:rowOff>
    </xdr:from>
    <xdr:to>
      <xdr:col>3</xdr:col>
      <xdr:colOff>154902</xdr:colOff>
      <xdr:row>27</xdr:row>
      <xdr:rowOff>162486</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5378DE3D-272D-9C02-3FFC-FC72D94940F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45810" y="4949665"/>
              <a:ext cx="1827501" cy="17417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146956</xdr:colOff>
      <xdr:row>11</xdr:row>
      <xdr:rowOff>129542</xdr:rowOff>
    </xdr:from>
    <xdr:to>
      <xdr:col>3</xdr:col>
      <xdr:colOff>154902</xdr:colOff>
      <xdr:row>18</xdr:row>
      <xdr:rowOff>72903</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E156ADC9-1B9E-BB21-642A-A1B58D27AF3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6956" y="3610497"/>
              <a:ext cx="1826355" cy="12768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HIB HUSSAIN" refreshedDate="46176.739045601855" createdVersion="8" refreshedVersion="8" minRefreshableVersion="3" recordCount="1000" xr:uid="{8D03F613-7FD5-4385-A3AD-F69C4769BC42}">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 numFmtId="0">
      <sharedItems count="3">
        <s v="Middle Age"/>
        <s v="Old Age"/>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0937921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DA7304-B682-44C8-98FC-13E62CB3166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3:E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13"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Dark2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F6A70F-B623-4591-952A-25BEAF7EE03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44:E49"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sortType="descending">
      <items count="3">
        <item x="1"/>
        <item x="0"/>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Dark2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DB2F22-AD9D-4A2F-9171-F0A0011EA3C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B23:E30"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Dark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E3B1E50-90EC-4171-90B8-4601C9460DB9}" sourceName="Marital Status">
  <pivotTables>
    <pivotTable tabId="4" name="PivotTable2"/>
    <pivotTable tabId="4" name="PivotTable3"/>
    <pivotTable tabId="4" name="PivotTable4"/>
  </pivotTables>
  <data>
    <tabular pivotCacheId="109379211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E32C2E7-8727-4583-85C8-0515D85D3B1E}" sourceName="Education">
  <pivotTables>
    <pivotTable tabId="4" name="PivotTable2"/>
    <pivotTable tabId="4" name="PivotTable3"/>
    <pivotTable tabId="4" name="PivotTable4"/>
  </pivotTables>
  <data>
    <tabular pivotCacheId="109379211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F117C13-F287-4106-81D9-D7499D203216}" sourceName="Region">
  <pivotTables>
    <pivotTable tabId="4" name="PivotTable2"/>
    <pivotTable tabId="4" name="PivotTable3"/>
    <pivotTable tabId="4" name="PivotTable4"/>
  </pivotTables>
  <data>
    <tabular pivotCacheId="109379211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E536C82E-8700-49C6-988A-BCB1B9A80006}" cache="Slicer_Marital_Status" caption="Marital Status" rowHeight="241300"/>
  <slicer name="Education" xr10:uid="{AA38A3F6-049F-4C99-A876-E50AE6AE938E}" cache="Slicer_Education" caption="Education" rowHeight="241300"/>
  <slicer name="Region" xr10:uid="{EED83E29-06AB-4908-8E82-F30F34349276}"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43" workbookViewId="0">
      <selection activeCell="G29" sqref="A1:M1027"/>
    </sheetView>
  </sheetViews>
  <sheetFormatPr defaultColWidth="12" defaultRowHeight="15" x14ac:dyDescent="0.25"/>
  <cols>
    <col min="1" max="1" width="6" bestFit="1" customWidth="1"/>
    <col min="2" max="2" width="13.28515625" bestFit="1" customWidth="1"/>
    <col min="3" max="3" width="7.5703125" bestFit="1" customWidth="1"/>
    <col min="4" max="4" width="11.140625" bestFit="1" customWidth="1"/>
    <col min="5" max="5" width="8.5703125" bestFit="1" customWidth="1"/>
    <col min="6" max="6" width="17.7109375" bestFit="1" customWidth="1"/>
    <col min="7" max="7" width="14.140625" bestFit="1" customWidth="1"/>
    <col min="8" max="8" width="12.7109375" bestFit="1" customWidth="1"/>
    <col min="9" max="9" width="4.7109375" bestFit="1" customWidth="1"/>
    <col min="10" max="10" width="18" bestFit="1" customWidth="1"/>
    <col min="11" max="11" width="14" bestFit="1" customWidth="1"/>
    <col min="12" max="12" width="4.42578125" bestFit="1" customWidth="1"/>
    <col min="13" max="13" width="14.5703125" bestFit="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F460E-9367-40C3-933D-7BF3A6110D1B}">
  <dimension ref="A1:N1001"/>
  <sheetViews>
    <sheetView topLeftCell="B10" zoomScaleNormal="100" workbookViewId="0">
      <selection activeCell="M2" sqref="M2"/>
    </sheetView>
  </sheetViews>
  <sheetFormatPr defaultColWidth="5.7109375" defaultRowHeight="15" x14ac:dyDescent="0.25"/>
  <cols>
    <col min="1" max="1" width="6" bestFit="1" customWidth="1"/>
    <col min="2" max="2" width="25.5703125" bestFit="1" customWidth="1"/>
    <col min="3" max="3" width="9.85546875" bestFit="1" customWidth="1"/>
    <col min="4" max="4" width="9.85546875" style="3" bestFit="1" customWidth="1"/>
    <col min="5" max="5" width="10.85546875" bestFit="1" customWidth="1"/>
    <col min="6" max="6" width="17.7109375" bestFit="1" customWidth="1"/>
    <col min="7" max="7" width="14.140625" bestFit="1" customWidth="1"/>
    <col min="8" max="8" width="15" bestFit="1" customWidth="1"/>
    <col min="9" max="9" width="7" bestFit="1" customWidth="1"/>
    <col min="10" max="10" width="20.28515625" bestFit="1" customWidth="1"/>
    <col min="11" max="11" width="14" bestFit="1" customWidth="1"/>
    <col min="12" max="12" width="6.7109375" bestFit="1" customWidth="1"/>
    <col min="13" max="13" width="15" bestFit="1" customWidth="1"/>
    <col min="14" max="14" width="16.85546875" bestFit="1"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tr">
        <f>IF(L2&gt;54,"Old Age",IF(L2&gt;=31,"Middle Age",IF(L2&lt;31,"Adolescent","Invalid")))</f>
        <v>Middle Age</v>
      </c>
      <c r="N2" t="s">
        <v>18</v>
      </c>
    </row>
    <row r="3" spans="1:14" x14ac:dyDescent="0.25">
      <c r="A3">
        <v>24107</v>
      </c>
      <c r="B3" t="s">
        <v>36</v>
      </c>
      <c r="C3" t="s">
        <v>39</v>
      </c>
      <c r="D3" s="3">
        <v>30000</v>
      </c>
      <c r="E3">
        <v>3</v>
      </c>
      <c r="F3" t="s">
        <v>19</v>
      </c>
      <c r="G3" t="s">
        <v>20</v>
      </c>
      <c r="H3" t="s">
        <v>15</v>
      </c>
      <c r="I3">
        <v>1</v>
      </c>
      <c r="J3" t="s">
        <v>16</v>
      </c>
      <c r="K3" t="s">
        <v>17</v>
      </c>
      <c r="L3">
        <v>43</v>
      </c>
      <c r="M3" t="str">
        <f t="shared" ref="M3:M66" si="0">IF(L3&gt;54,"Old Age",IF(L3&gt;=31,"Middle Age",IF(L3&lt;31,"Adolescent","Invalid")))</f>
        <v>Middle Age</v>
      </c>
      <c r="N3" t="s">
        <v>18</v>
      </c>
    </row>
    <row r="4" spans="1:14" x14ac:dyDescent="0.25">
      <c r="A4">
        <v>14177</v>
      </c>
      <c r="B4" t="s">
        <v>36</v>
      </c>
      <c r="C4" t="s">
        <v>39</v>
      </c>
      <c r="D4" s="3">
        <v>80000</v>
      </c>
      <c r="E4">
        <v>5</v>
      </c>
      <c r="F4" t="s">
        <v>19</v>
      </c>
      <c r="G4" t="s">
        <v>21</v>
      </c>
      <c r="H4" t="s">
        <v>18</v>
      </c>
      <c r="I4">
        <v>2</v>
      </c>
      <c r="J4" t="s">
        <v>22</v>
      </c>
      <c r="K4" t="s">
        <v>17</v>
      </c>
      <c r="L4">
        <v>60</v>
      </c>
      <c r="M4" t="str">
        <f t="shared" si="0"/>
        <v>Old Age</v>
      </c>
      <c r="N4" t="s">
        <v>18</v>
      </c>
    </row>
    <row r="5" spans="1:14" x14ac:dyDescent="0.25">
      <c r="A5">
        <v>24381</v>
      </c>
      <c r="B5" t="s">
        <v>37</v>
      </c>
      <c r="C5" t="s">
        <v>39</v>
      </c>
      <c r="D5" s="3">
        <v>70000</v>
      </c>
      <c r="E5">
        <v>0</v>
      </c>
      <c r="F5" t="s">
        <v>13</v>
      </c>
      <c r="G5" t="s">
        <v>21</v>
      </c>
      <c r="H5" t="s">
        <v>15</v>
      </c>
      <c r="I5">
        <v>1</v>
      </c>
      <c r="J5" t="s">
        <v>23</v>
      </c>
      <c r="K5" t="s">
        <v>24</v>
      </c>
      <c r="L5">
        <v>41</v>
      </c>
      <c r="M5" t="str">
        <f t="shared" si="0"/>
        <v>Middle Age</v>
      </c>
      <c r="N5" t="s">
        <v>15</v>
      </c>
    </row>
    <row r="6" spans="1:14" x14ac:dyDescent="0.25">
      <c r="A6">
        <v>25597</v>
      </c>
      <c r="B6" t="s">
        <v>37</v>
      </c>
      <c r="C6" t="s">
        <v>39</v>
      </c>
      <c r="D6" s="3">
        <v>30000</v>
      </c>
      <c r="E6">
        <v>0</v>
      </c>
      <c r="F6" t="s">
        <v>13</v>
      </c>
      <c r="G6" t="s">
        <v>20</v>
      </c>
      <c r="H6" t="s">
        <v>18</v>
      </c>
      <c r="I6">
        <v>0</v>
      </c>
      <c r="J6" t="s">
        <v>16</v>
      </c>
      <c r="K6" t="s">
        <v>17</v>
      </c>
      <c r="L6">
        <v>36</v>
      </c>
      <c r="M6" t="str">
        <f t="shared" si="0"/>
        <v>Middle Age</v>
      </c>
      <c r="N6" t="s">
        <v>15</v>
      </c>
    </row>
    <row r="7" spans="1:14" x14ac:dyDescent="0.25">
      <c r="A7">
        <v>13507</v>
      </c>
      <c r="B7" t="s">
        <v>36</v>
      </c>
      <c r="C7" t="s">
        <v>38</v>
      </c>
      <c r="D7" s="3">
        <v>10000</v>
      </c>
      <c r="E7">
        <v>2</v>
      </c>
      <c r="F7" t="s">
        <v>19</v>
      </c>
      <c r="G7" t="s">
        <v>25</v>
      </c>
      <c r="H7" t="s">
        <v>15</v>
      </c>
      <c r="I7">
        <v>0</v>
      </c>
      <c r="J7" t="s">
        <v>26</v>
      </c>
      <c r="K7" t="s">
        <v>17</v>
      </c>
      <c r="L7">
        <v>50</v>
      </c>
      <c r="M7" t="str">
        <f t="shared" si="0"/>
        <v>Middle Age</v>
      </c>
      <c r="N7" t="s">
        <v>18</v>
      </c>
    </row>
    <row r="8" spans="1:14" x14ac:dyDescent="0.25">
      <c r="A8">
        <v>27974</v>
      </c>
      <c r="B8" t="s">
        <v>37</v>
      </c>
      <c r="C8" t="s">
        <v>39</v>
      </c>
      <c r="D8" s="3">
        <v>160000</v>
      </c>
      <c r="E8">
        <v>2</v>
      </c>
      <c r="F8" t="s">
        <v>27</v>
      </c>
      <c r="G8" t="s">
        <v>28</v>
      </c>
      <c r="H8" t="s">
        <v>15</v>
      </c>
      <c r="I8">
        <v>4</v>
      </c>
      <c r="J8" t="s">
        <v>16</v>
      </c>
      <c r="K8" t="s">
        <v>24</v>
      </c>
      <c r="L8">
        <v>33</v>
      </c>
      <c r="M8" t="str">
        <f t="shared" si="0"/>
        <v>Middle Age</v>
      </c>
      <c r="N8" t="s">
        <v>15</v>
      </c>
    </row>
    <row r="9" spans="1:14" x14ac:dyDescent="0.25">
      <c r="A9">
        <v>19364</v>
      </c>
      <c r="B9" t="s">
        <v>36</v>
      </c>
      <c r="C9" t="s">
        <v>39</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Old Age</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Old Age</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Old Age</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Old Age</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Old Age</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Old Age</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Old Age</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Old Age</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Old Age</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Old Age</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Old Age</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Old Age</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Old Age</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IF(L67&gt;54,"Old Age",IF(L67&gt;=31,"Middle Age",IF(L67&lt;31,"Adolescent","Invalid")))</f>
        <v>Old Age</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Old Age</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Old Age</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Old Age</v>
      </c>
      <c r="N96" t="s">
        <v>18</v>
      </c>
    </row>
    <row r="97" spans="1:14" x14ac:dyDescent="0.25">
      <c r="A97">
        <v>17197</v>
      </c>
      <c r="B97" t="s">
        <v>37</v>
      </c>
      <c r="C97" t="s">
        <v>38</v>
      </c>
      <c r="D97" s="3">
        <v>90000</v>
      </c>
      <c r="E97">
        <v>5</v>
      </c>
      <c r="F97" t="s">
        <v>19</v>
      </c>
      <c r="G97" t="s">
        <v>21</v>
      </c>
      <c r="H97" t="s">
        <v>15</v>
      </c>
      <c r="I97">
        <v>2</v>
      </c>
      <c r="J97" t="s">
        <v>46</v>
      </c>
      <c r="K97" t="s">
        <v>17</v>
      </c>
      <c r="L97">
        <v>62</v>
      </c>
      <c r="M97" t="str">
        <f t="shared" si="1"/>
        <v>Old Age</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Old Age</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Old Age</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Old Age</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IF(L131&gt;54,"Old Age",IF(L131&gt;=31,"Middle Age",IF(L131&lt;31,"Adolescent","Invalid")))</f>
        <v>Middle Age</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Old Age</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Old Age</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Old Age</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Old Age</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Old Age</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Old Age</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Old Age</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Old Age</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3">
        <v>160000</v>
      </c>
      <c r="E180">
        <v>4</v>
      </c>
      <c r="F180" t="s">
        <v>19</v>
      </c>
      <c r="G180" t="s">
        <v>21</v>
      </c>
      <c r="H180" t="s">
        <v>18</v>
      </c>
      <c r="I180">
        <v>2</v>
      </c>
      <c r="J180" t="s">
        <v>46</v>
      </c>
      <c r="K180" t="s">
        <v>17</v>
      </c>
      <c r="L180">
        <v>55</v>
      </c>
      <c r="M180" t="str">
        <f t="shared" si="2"/>
        <v>Old Age</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Old Age</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Old Age</v>
      </c>
      <c r="N185" t="s">
        <v>15</v>
      </c>
    </row>
    <row r="186" spans="1:14" x14ac:dyDescent="0.25">
      <c r="A186">
        <v>28918</v>
      </c>
      <c r="B186" t="s">
        <v>36</v>
      </c>
      <c r="C186" t="s">
        <v>38</v>
      </c>
      <c r="D186" s="3">
        <v>130000</v>
      </c>
      <c r="E186">
        <v>4</v>
      </c>
      <c r="F186" t="s">
        <v>27</v>
      </c>
      <c r="G186" t="s">
        <v>28</v>
      </c>
      <c r="H186" t="s">
        <v>18</v>
      </c>
      <c r="I186">
        <v>4</v>
      </c>
      <c r="J186" t="s">
        <v>46</v>
      </c>
      <c r="K186" t="s">
        <v>17</v>
      </c>
      <c r="L186">
        <v>58</v>
      </c>
      <c r="M186" t="str">
        <f t="shared" si="2"/>
        <v>Old Age</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Old Age</v>
      </c>
      <c r="N188" t="s">
        <v>15</v>
      </c>
    </row>
    <row r="189" spans="1:14" x14ac:dyDescent="0.25">
      <c r="A189">
        <v>18151</v>
      </c>
      <c r="B189" t="s">
        <v>37</v>
      </c>
      <c r="C189" t="s">
        <v>39</v>
      </c>
      <c r="D189" s="3">
        <v>80000</v>
      </c>
      <c r="E189">
        <v>5</v>
      </c>
      <c r="F189" t="s">
        <v>19</v>
      </c>
      <c r="G189" t="s">
        <v>21</v>
      </c>
      <c r="H189" t="s">
        <v>18</v>
      </c>
      <c r="I189">
        <v>2</v>
      </c>
      <c r="J189" t="s">
        <v>46</v>
      </c>
      <c r="K189" t="s">
        <v>17</v>
      </c>
      <c r="L189">
        <v>59</v>
      </c>
      <c r="M189" t="str">
        <f t="shared" si="2"/>
        <v>Old Age</v>
      </c>
      <c r="N189" t="s">
        <v>18</v>
      </c>
    </row>
    <row r="190" spans="1:14" x14ac:dyDescent="0.25">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Old Age</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3">
        <v>80000</v>
      </c>
      <c r="E194">
        <v>5</v>
      </c>
      <c r="F194" t="s">
        <v>13</v>
      </c>
      <c r="G194" t="s">
        <v>28</v>
      </c>
      <c r="H194" t="s">
        <v>15</v>
      </c>
      <c r="I194">
        <v>2</v>
      </c>
      <c r="J194" t="s">
        <v>46</v>
      </c>
      <c r="K194" t="s">
        <v>17</v>
      </c>
      <c r="L194">
        <v>62</v>
      </c>
      <c r="M194" t="str">
        <f t="shared" si="2"/>
        <v>Old Age</v>
      </c>
      <c r="N194" t="s">
        <v>18</v>
      </c>
    </row>
    <row r="195" spans="1:14" x14ac:dyDescent="0.25">
      <c r="A195">
        <v>26032</v>
      </c>
      <c r="B195" t="s">
        <v>36</v>
      </c>
      <c r="C195" t="s">
        <v>38</v>
      </c>
      <c r="D195" s="3">
        <v>70000</v>
      </c>
      <c r="E195">
        <v>5</v>
      </c>
      <c r="F195" t="s">
        <v>13</v>
      </c>
      <c r="G195" t="s">
        <v>21</v>
      </c>
      <c r="H195" t="s">
        <v>15</v>
      </c>
      <c r="I195">
        <v>4</v>
      </c>
      <c r="J195" t="s">
        <v>46</v>
      </c>
      <c r="K195" t="s">
        <v>24</v>
      </c>
      <c r="L195">
        <v>41</v>
      </c>
      <c r="M195" t="str">
        <f t="shared" ref="M195:M258" si="3">IF(L195&gt;54,"Old Age",IF(L195&gt;=31,"Middle Age",IF(L195&lt;31,"Adolescent","Invalid")))</f>
        <v>Middle Age</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Old Age</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3">
        <v>90000</v>
      </c>
      <c r="E208">
        <v>5</v>
      </c>
      <c r="F208" t="s">
        <v>19</v>
      </c>
      <c r="G208" t="s">
        <v>21</v>
      </c>
      <c r="H208" t="s">
        <v>18</v>
      </c>
      <c r="I208">
        <v>2</v>
      </c>
      <c r="J208" t="s">
        <v>46</v>
      </c>
      <c r="K208" t="s">
        <v>17</v>
      </c>
      <c r="L208">
        <v>62</v>
      </c>
      <c r="M208" t="str">
        <f t="shared" si="3"/>
        <v>Old Age</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Old Age</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Old Age</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3">
        <v>80000</v>
      </c>
      <c r="E231">
        <v>5</v>
      </c>
      <c r="F231" t="s">
        <v>27</v>
      </c>
      <c r="G231" t="s">
        <v>28</v>
      </c>
      <c r="H231" t="s">
        <v>15</v>
      </c>
      <c r="I231">
        <v>3</v>
      </c>
      <c r="J231" t="s">
        <v>46</v>
      </c>
      <c r="K231" t="s">
        <v>17</v>
      </c>
      <c r="L231">
        <v>57</v>
      </c>
      <c r="M231" t="str">
        <f t="shared" si="3"/>
        <v>Old Age</v>
      </c>
      <c r="N231" t="s">
        <v>18</v>
      </c>
    </row>
    <row r="232" spans="1:14" x14ac:dyDescent="0.25">
      <c r="A232">
        <v>22830</v>
      </c>
      <c r="B232" t="s">
        <v>36</v>
      </c>
      <c r="C232" t="s">
        <v>39</v>
      </c>
      <c r="D232" s="3">
        <v>120000</v>
      </c>
      <c r="E232">
        <v>4</v>
      </c>
      <c r="F232" t="s">
        <v>19</v>
      </c>
      <c r="G232" t="s">
        <v>28</v>
      </c>
      <c r="H232" t="s">
        <v>15</v>
      </c>
      <c r="I232">
        <v>3</v>
      </c>
      <c r="J232" t="s">
        <v>46</v>
      </c>
      <c r="K232" t="s">
        <v>17</v>
      </c>
      <c r="L232">
        <v>56</v>
      </c>
      <c r="M232" t="str">
        <f t="shared" si="3"/>
        <v>Old Age</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Old Age</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Old Age</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Old Age</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Old Age</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3">
        <v>100000</v>
      </c>
      <c r="E255">
        <v>3</v>
      </c>
      <c r="F255" t="s">
        <v>29</v>
      </c>
      <c r="G255" t="s">
        <v>21</v>
      </c>
      <c r="H255" t="s">
        <v>15</v>
      </c>
      <c r="I255">
        <v>0</v>
      </c>
      <c r="J255" t="s">
        <v>46</v>
      </c>
      <c r="K255" t="s">
        <v>17</v>
      </c>
      <c r="L255">
        <v>59</v>
      </c>
      <c r="M255" t="str">
        <f t="shared" si="3"/>
        <v>Old Age</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Old Age</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IF(L259&gt;54,"Old Age",IF(L259&gt;=31,"Middle Age",IF(L259&lt;31,"Adolescent","Invalid")))</f>
        <v>Middle Age</v>
      </c>
      <c r="N259" t="s">
        <v>15</v>
      </c>
    </row>
    <row r="260" spans="1:14" x14ac:dyDescent="0.25">
      <c r="A260">
        <v>14193</v>
      </c>
      <c r="B260" t="s">
        <v>37</v>
      </c>
      <c r="C260" t="s">
        <v>38</v>
      </c>
      <c r="D260" s="3">
        <v>100000</v>
      </c>
      <c r="E260">
        <v>3</v>
      </c>
      <c r="F260" t="s">
        <v>19</v>
      </c>
      <c r="G260" t="s">
        <v>28</v>
      </c>
      <c r="H260" t="s">
        <v>15</v>
      </c>
      <c r="I260">
        <v>4</v>
      </c>
      <c r="J260" t="s">
        <v>46</v>
      </c>
      <c r="K260" t="s">
        <v>17</v>
      </c>
      <c r="L260">
        <v>56</v>
      </c>
      <c r="M260" t="str">
        <f t="shared" si="4"/>
        <v>Old Age</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Old Age</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Old Age</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Old Age</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Old Age</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Old Age</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Old Age</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Old Age</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IF(L323&gt;54,"Old Age",IF(L323&gt;=31,"Middle Age",IF(L323&lt;31,"Adolescent","Invalid")))</f>
        <v>Middle Age</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3">
        <v>90000</v>
      </c>
      <c r="E331">
        <v>5</v>
      </c>
      <c r="F331" t="s">
        <v>29</v>
      </c>
      <c r="G331" t="s">
        <v>14</v>
      </c>
      <c r="H331" t="s">
        <v>15</v>
      </c>
      <c r="I331">
        <v>2</v>
      </c>
      <c r="J331" t="s">
        <v>46</v>
      </c>
      <c r="K331" t="s">
        <v>17</v>
      </c>
      <c r="L331">
        <v>59</v>
      </c>
      <c r="M331" t="str">
        <f t="shared" si="5"/>
        <v>Old Age</v>
      </c>
      <c r="N331" t="s">
        <v>18</v>
      </c>
    </row>
    <row r="332" spans="1:14" x14ac:dyDescent="0.25">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Old Age</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Old Age</v>
      </c>
      <c r="N360" t="s">
        <v>15</v>
      </c>
    </row>
    <row r="361" spans="1:14" x14ac:dyDescent="0.25">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Old Age</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Old Age</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Old Age</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Old Age</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Old Age</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Old Age</v>
      </c>
      <c r="N383" t="s">
        <v>18</v>
      </c>
    </row>
    <row r="384" spans="1:14" x14ac:dyDescent="0.25">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IF(L387&gt;54,"Old Age",IF(L387&gt;=31,"Middle Age",IF(L387&lt;31,"Adolescent","Invalid")))</f>
        <v>Middle Age</v>
      </c>
      <c r="N387" t="s">
        <v>18</v>
      </c>
    </row>
    <row r="388" spans="1:14" x14ac:dyDescent="0.25">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Old Age</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Old Age</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Old Age</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Old Age</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Old Age</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3">
        <v>100000</v>
      </c>
      <c r="E422">
        <v>2</v>
      </c>
      <c r="F422" t="s">
        <v>13</v>
      </c>
      <c r="G422" t="s">
        <v>28</v>
      </c>
      <c r="H422" t="s">
        <v>15</v>
      </c>
      <c r="I422">
        <v>4</v>
      </c>
      <c r="J422" t="s">
        <v>46</v>
      </c>
      <c r="K422" t="s">
        <v>17</v>
      </c>
      <c r="L422">
        <v>59</v>
      </c>
      <c r="M422" t="str">
        <f t="shared" si="6"/>
        <v>Old Age</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Old Age</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Old Age</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Old Age</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IF(L451&gt;54,"Old Age",IF(L451&gt;=31,"Middle Age",IF(L451&lt;31,"Adolescent","Invalid")))</f>
        <v>Middle Age</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Old Age</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Old Age</v>
      </c>
      <c r="N459" t="s">
        <v>18</v>
      </c>
    </row>
    <row r="460" spans="1:14" x14ac:dyDescent="0.25">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Old Age</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Old Age</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Old Age</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Old Age</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3">
        <v>90000</v>
      </c>
      <c r="E488">
        <v>4</v>
      </c>
      <c r="F488" t="s">
        <v>29</v>
      </c>
      <c r="G488" t="s">
        <v>14</v>
      </c>
      <c r="H488" t="s">
        <v>15</v>
      </c>
      <c r="I488">
        <v>4</v>
      </c>
      <c r="J488" t="s">
        <v>46</v>
      </c>
      <c r="K488" t="s">
        <v>17</v>
      </c>
      <c r="L488">
        <v>58</v>
      </c>
      <c r="M488" t="str">
        <f t="shared" si="7"/>
        <v>Old Age</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3">
        <v>70000</v>
      </c>
      <c r="E495">
        <v>5</v>
      </c>
      <c r="F495" t="s">
        <v>13</v>
      </c>
      <c r="G495" t="s">
        <v>28</v>
      </c>
      <c r="H495" t="s">
        <v>15</v>
      </c>
      <c r="I495">
        <v>3</v>
      </c>
      <c r="J495" t="s">
        <v>46</v>
      </c>
      <c r="K495" t="s">
        <v>32</v>
      </c>
      <c r="L495">
        <v>60</v>
      </c>
      <c r="M495" t="str">
        <f t="shared" si="7"/>
        <v>Old Age</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3">
        <v>60000</v>
      </c>
      <c r="E497">
        <v>2</v>
      </c>
      <c r="F497" t="s">
        <v>19</v>
      </c>
      <c r="G497" t="s">
        <v>21</v>
      </c>
      <c r="H497" t="s">
        <v>15</v>
      </c>
      <c r="I497">
        <v>2</v>
      </c>
      <c r="J497" t="s">
        <v>46</v>
      </c>
      <c r="K497" t="s">
        <v>32</v>
      </c>
      <c r="L497">
        <v>56</v>
      </c>
      <c r="M497" t="str">
        <f t="shared" si="7"/>
        <v>Old Age</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Old Age</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3">
        <v>60000</v>
      </c>
      <c r="E515">
        <v>4</v>
      </c>
      <c r="F515" t="s">
        <v>31</v>
      </c>
      <c r="G515" t="s">
        <v>28</v>
      </c>
      <c r="H515" t="s">
        <v>15</v>
      </c>
      <c r="I515">
        <v>2</v>
      </c>
      <c r="J515" t="s">
        <v>46</v>
      </c>
      <c r="K515" t="s">
        <v>32</v>
      </c>
      <c r="L515">
        <v>61</v>
      </c>
      <c r="M515" t="str">
        <f t="shared" ref="M515:M578" si="8">IF(L515&gt;54,"Old Age",IF(L515&gt;=31,"Middle Age",IF(L515&lt;31,"Adolescent","Invalid")))</f>
        <v>Old Age</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Old Age</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3">
        <v>40000</v>
      </c>
      <c r="E523">
        <v>4</v>
      </c>
      <c r="F523" t="s">
        <v>27</v>
      </c>
      <c r="G523" t="s">
        <v>21</v>
      </c>
      <c r="H523" t="s">
        <v>15</v>
      </c>
      <c r="I523">
        <v>2</v>
      </c>
      <c r="J523" t="s">
        <v>46</v>
      </c>
      <c r="K523" t="s">
        <v>32</v>
      </c>
      <c r="L523">
        <v>62</v>
      </c>
      <c r="M523" t="str">
        <f t="shared" si="8"/>
        <v>Old Age</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Old Age</v>
      </c>
      <c r="N526" t="s">
        <v>18</v>
      </c>
    </row>
    <row r="527" spans="1:14" x14ac:dyDescent="0.25">
      <c r="A527">
        <v>16791</v>
      </c>
      <c r="B527" t="s">
        <v>37</v>
      </c>
      <c r="C527" t="s">
        <v>39</v>
      </c>
      <c r="D527" s="3">
        <v>60000</v>
      </c>
      <c r="E527">
        <v>5</v>
      </c>
      <c r="F527" t="s">
        <v>13</v>
      </c>
      <c r="G527" t="s">
        <v>28</v>
      </c>
      <c r="H527" t="s">
        <v>15</v>
      </c>
      <c r="I527">
        <v>3</v>
      </c>
      <c r="J527" t="s">
        <v>46</v>
      </c>
      <c r="K527" t="s">
        <v>32</v>
      </c>
      <c r="L527">
        <v>59</v>
      </c>
      <c r="M527" t="str">
        <f t="shared" si="8"/>
        <v>Old Age</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3">
        <v>60000</v>
      </c>
      <c r="E531">
        <v>2</v>
      </c>
      <c r="F531" t="s">
        <v>19</v>
      </c>
      <c r="G531" t="s">
        <v>21</v>
      </c>
      <c r="H531" t="s">
        <v>15</v>
      </c>
      <c r="I531">
        <v>1</v>
      </c>
      <c r="J531" t="s">
        <v>46</v>
      </c>
      <c r="K531" t="s">
        <v>32</v>
      </c>
      <c r="L531">
        <v>57</v>
      </c>
      <c r="M531" t="str">
        <f t="shared" si="8"/>
        <v>Old Age</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3">
        <v>60000</v>
      </c>
      <c r="E535">
        <v>3</v>
      </c>
      <c r="F535" t="s">
        <v>13</v>
      </c>
      <c r="G535" t="s">
        <v>28</v>
      </c>
      <c r="H535" t="s">
        <v>15</v>
      </c>
      <c r="I535">
        <v>2</v>
      </c>
      <c r="J535" t="s">
        <v>46</v>
      </c>
      <c r="K535" t="s">
        <v>32</v>
      </c>
      <c r="L535">
        <v>66</v>
      </c>
      <c r="M535" t="str">
        <f t="shared" si="8"/>
        <v>Old Age</v>
      </c>
      <c r="N535" t="s">
        <v>18</v>
      </c>
    </row>
    <row r="536" spans="1:14" x14ac:dyDescent="0.25">
      <c r="A536">
        <v>24637</v>
      </c>
      <c r="B536" t="s">
        <v>36</v>
      </c>
      <c r="C536" t="s">
        <v>39</v>
      </c>
      <c r="D536" s="3">
        <v>40000</v>
      </c>
      <c r="E536">
        <v>4</v>
      </c>
      <c r="F536" t="s">
        <v>27</v>
      </c>
      <c r="G536" t="s">
        <v>21</v>
      </c>
      <c r="H536" t="s">
        <v>15</v>
      </c>
      <c r="I536">
        <v>2</v>
      </c>
      <c r="J536" t="s">
        <v>46</v>
      </c>
      <c r="K536" t="s">
        <v>32</v>
      </c>
      <c r="L536">
        <v>64</v>
      </c>
      <c r="M536" t="str">
        <f t="shared" si="8"/>
        <v>Old Age</v>
      </c>
      <c r="N536" t="s">
        <v>18</v>
      </c>
    </row>
    <row r="537" spans="1:14" x14ac:dyDescent="0.25">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Old Age</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3">
        <v>50000</v>
      </c>
      <c r="E553">
        <v>4</v>
      </c>
      <c r="F553" t="s">
        <v>13</v>
      </c>
      <c r="G553" t="s">
        <v>28</v>
      </c>
      <c r="H553" t="s">
        <v>15</v>
      </c>
      <c r="I553">
        <v>2</v>
      </c>
      <c r="J553" t="s">
        <v>46</v>
      </c>
      <c r="K553" t="s">
        <v>32</v>
      </c>
      <c r="L553">
        <v>63</v>
      </c>
      <c r="M553" t="str">
        <f t="shared" si="8"/>
        <v>Old Age</v>
      </c>
      <c r="N553" t="s">
        <v>18</v>
      </c>
    </row>
    <row r="554" spans="1:14" x14ac:dyDescent="0.25">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Old Age</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3">
        <v>60000</v>
      </c>
      <c r="E561">
        <v>2</v>
      </c>
      <c r="F561" t="s">
        <v>13</v>
      </c>
      <c r="G561" t="s">
        <v>28</v>
      </c>
      <c r="H561" t="s">
        <v>15</v>
      </c>
      <c r="I561">
        <v>0</v>
      </c>
      <c r="J561" t="s">
        <v>46</v>
      </c>
      <c r="K561" t="s">
        <v>32</v>
      </c>
      <c r="L561">
        <v>58</v>
      </c>
      <c r="M561" t="str">
        <f t="shared" si="8"/>
        <v>Old Age</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Old Age</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3">
        <v>50000</v>
      </c>
      <c r="E571">
        <v>3</v>
      </c>
      <c r="F571" t="s">
        <v>31</v>
      </c>
      <c r="G571" t="s">
        <v>28</v>
      </c>
      <c r="H571" t="s">
        <v>15</v>
      </c>
      <c r="I571">
        <v>2</v>
      </c>
      <c r="J571" t="s">
        <v>46</v>
      </c>
      <c r="K571" t="s">
        <v>32</v>
      </c>
      <c r="L571">
        <v>69</v>
      </c>
      <c r="M571" t="str">
        <f t="shared" si="8"/>
        <v>Old Age</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Old Age</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Old Age</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3">
        <v>60000</v>
      </c>
      <c r="E577">
        <v>2</v>
      </c>
      <c r="F577" t="s">
        <v>19</v>
      </c>
      <c r="G577" t="s">
        <v>21</v>
      </c>
      <c r="H577" t="s">
        <v>15</v>
      </c>
      <c r="I577">
        <v>1</v>
      </c>
      <c r="J577" t="s">
        <v>46</v>
      </c>
      <c r="K577" t="s">
        <v>32</v>
      </c>
      <c r="L577">
        <v>56</v>
      </c>
      <c r="M577" t="str">
        <f t="shared" si="8"/>
        <v>Old Age</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IF(L579&gt;54,"Old Age",IF(L579&gt;=31,"Middle Age",IF(L579&lt;31,"Adolescent","Invalid")))</f>
        <v>Middle Age</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Old Age</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3">
        <v>60000</v>
      </c>
      <c r="E582">
        <v>3</v>
      </c>
      <c r="F582" t="s">
        <v>31</v>
      </c>
      <c r="G582" t="s">
        <v>28</v>
      </c>
      <c r="H582" t="s">
        <v>15</v>
      </c>
      <c r="I582">
        <v>2</v>
      </c>
      <c r="J582" t="s">
        <v>46</v>
      </c>
      <c r="K582" t="s">
        <v>32</v>
      </c>
      <c r="L582">
        <v>69</v>
      </c>
      <c r="M582" t="str">
        <f t="shared" si="9"/>
        <v>Old Age</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3">
        <v>60000</v>
      </c>
      <c r="E585">
        <v>3</v>
      </c>
      <c r="F585" t="s">
        <v>13</v>
      </c>
      <c r="G585" t="s">
        <v>28</v>
      </c>
      <c r="H585" t="s">
        <v>15</v>
      </c>
      <c r="I585">
        <v>2</v>
      </c>
      <c r="J585" t="s">
        <v>46</v>
      </c>
      <c r="K585" t="s">
        <v>32</v>
      </c>
      <c r="L585">
        <v>66</v>
      </c>
      <c r="M585" t="str">
        <f t="shared" si="9"/>
        <v>Old Age</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39</v>
      </c>
      <c r="D591" s="3">
        <v>60000</v>
      </c>
      <c r="E591">
        <v>2</v>
      </c>
      <c r="F591" t="s">
        <v>13</v>
      </c>
      <c r="G591" t="s">
        <v>28</v>
      </c>
      <c r="H591" t="s">
        <v>15</v>
      </c>
      <c r="I591">
        <v>0</v>
      </c>
      <c r="J591" t="s">
        <v>46</v>
      </c>
      <c r="K591" t="s">
        <v>32</v>
      </c>
      <c r="L591">
        <v>57</v>
      </c>
      <c r="M591" t="str">
        <f t="shared" si="9"/>
        <v>Old Age</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3">
        <v>40000</v>
      </c>
      <c r="E593">
        <v>4</v>
      </c>
      <c r="F593" t="s">
        <v>27</v>
      </c>
      <c r="G593" t="s">
        <v>21</v>
      </c>
      <c r="H593" t="s">
        <v>18</v>
      </c>
      <c r="I593">
        <v>2</v>
      </c>
      <c r="J593" t="s">
        <v>46</v>
      </c>
      <c r="K593" t="s">
        <v>32</v>
      </c>
      <c r="L593">
        <v>61</v>
      </c>
      <c r="M593" t="str">
        <f t="shared" si="9"/>
        <v>Old Age</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Old Age</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Old Age</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Old Age</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Old Age</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Old Age</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Old Age</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Old Age</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Old Age</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Old Age</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Old Age</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Old Age</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Old Age</v>
      </c>
      <c r="N642" t="s">
        <v>15</v>
      </c>
    </row>
    <row r="643" spans="1:14" x14ac:dyDescent="0.25">
      <c r="A643">
        <v>21441</v>
      </c>
      <c r="B643" t="s">
        <v>36</v>
      </c>
      <c r="C643" t="s">
        <v>39</v>
      </c>
      <c r="D643" s="3">
        <v>50000</v>
      </c>
      <c r="E643">
        <v>4</v>
      </c>
      <c r="F643" t="s">
        <v>13</v>
      </c>
      <c r="G643" t="s">
        <v>28</v>
      </c>
      <c r="H643" t="s">
        <v>15</v>
      </c>
      <c r="I643">
        <v>2</v>
      </c>
      <c r="J643" t="s">
        <v>46</v>
      </c>
      <c r="K643" t="s">
        <v>32</v>
      </c>
      <c r="L643">
        <v>64</v>
      </c>
      <c r="M643" t="str">
        <f t="shared" ref="M643:M706" si="10">IF(L643&gt;54,"Old Age",IF(L643&gt;=31,"Middle Age",IF(L643&lt;31,"Adolescent","Invalid")))</f>
        <v>Old Age</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Old Age</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3">
        <v>70000</v>
      </c>
      <c r="E652">
        <v>5</v>
      </c>
      <c r="F652" t="s">
        <v>31</v>
      </c>
      <c r="G652" t="s">
        <v>28</v>
      </c>
      <c r="H652" t="s">
        <v>15</v>
      </c>
      <c r="I652">
        <v>2</v>
      </c>
      <c r="J652" t="s">
        <v>46</v>
      </c>
      <c r="K652" t="s">
        <v>32</v>
      </c>
      <c r="L652">
        <v>67</v>
      </c>
      <c r="M652" t="str">
        <f t="shared" si="10"/>
        <v>Old Age</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3">
        <v>60000</v>
      </c>
      <c r="E661">
        <v>4</v>
      </c>
      <c r="F661" t="s">
        <v>13</v>
      </c>
      <c r="G661" t="s">
        <v>28</v>
      </c>
      <c r="H661" t="s">
        <v>15</v>
      </c>
      <c r="I661">
        <v>2</v>
      </c>
      <c r="J661" t="s">
        <v>46</v>
      </c>
      <c r="K661" t="s">
        <v>32</v>
      </c>
      <c r="L661">
        <v>63</v>
      </c>
      <c r="M661" t="str">
        <f t="shared" si="10"/>
        <v>Old Age</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3">
        <v>40000</v>
      </c>
      <c r="E669">
        <v>5</v>
      </c>
      <c r="F669" t="s">
        <v>27</v>
      </c>
      <c r="G669" t="s">
        <v>21</v>
      </c>
      <c r="H669" t="s">
        <v>18</v>
      </c>
      <c r="I669">
        <v>2</v>
      </c>
      <c r="J669" t="s">
        <v>46</v>
      </c>
      <c r="K669" t="s">
        <v>32</v>
      </c>
      <c r="L669">
        <v>61</v>
      </c>
      <c r="M669" t="str">
        <f t="shared" si="10"/>
        <v>Old Age</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3">
        <v>70000</v>
      </c>
      <c r="E672">
        <v>2</v>
      </c>
      <c r="F672" t="s">
        <v>19</v>
      </c>
      <c r="G672" t="s">
        <v>21</v>
      </c>
      <c r="H672" t="s">
        <v>15</v>
      </c>
      <c r="I672">
        <v>1</v>
      </c>
      <c r="J672" t="s">
        <v>46</v>
      </c>
      <c r="K672" t="s">
        <v>32</v>
      </c>
      <c r="L672">
        <v>59</v>
      </c>
      <c r="M672" t="str">
        <f t="shared" si="10"/>
        <v>Old Age</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Old Age</v>
      </c>
      <c r="N680" t="s">
        <v>18</v>
      </c>
    </row>
    <row r="681" spans="1:14" x14ac:dyDescent="0.25">
      <c r="A681">
        <v>21770</v>
      </c>
      <c r="B681" t="s">
        <v>36</v>
      </c>
      <c r="C681" t="s">
        <v>39</v>
      </c>
      <c r="D681" s="3">
        <v>60000</v>
      </c>
      <c r="E681">
        <v>4</v>
      </c>
      <c r="F681" t="s">
        <v>13</v>
      </c>
      <c r="G681" t="s">
        <v>28</v>
      </c>
      <c r="H681" t="s">
        <v>15</v>
      </c>
      <c r="I681">
        <v>2</v>
      </c>
      <c r="J681" t="s">
        <v>46</v>
      </c>
      <c r="K681" t="s">
        <v>32</v>
      </c>
      <c r="L681">
        <v>60</v>
      </c>
      <c r="M681" t="str">
        <f t="shared" si="10"/>
        <v>Old Age</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Old Age</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3">
        <v>70000</v>
      </c>
      <c r="E707">
        <v>4</v>
      </c>
      <c r="F707" t="s">
        <v>13</v>
      </c>
      <c r="G707" t="s">
        <v>28</v>
      </c>
      <c r="H707" t="s">
        <v>15</v>
      </c>
      <c r="I707">
        <v>1</v>
      </c>
      <c r="J707" t="s">
        <v>46</v>
      </c>
      <c r="K707" t="s">
        <v>32</v>
      </c>
      <c r="L707">
        <v>59</v>
      </c>
      <c r="M707" t="str">
        <f t="shared" ref="M707:M770" si="11">IF(L707&gt;54,"Old Age",IF(L707&gt;=31,"Middle Age",IF(L707&lt;31,"Adolescent","Invalid")))</f>
        <v>Old Age</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3">
        <v>70000</v>
      </c>
      <c r="E710">
        <v>5</v>
      </c>
      <c r="F710" t="s">
        <v>13</v>
      </c>
      <c r="G710" t="s">
        <v>28</v>
      </c>
      <c r="H710" t="s">
        <v>15</v>
      </c>
      <c r="I710">
        <v>4</v>
      </c>
      <c r="J710" t="s">
        <v>46</v>
      </c>
      <c r="K710" t="s">
        <v>32</v>
      </c>
      <c r="L710">
        <v>60</v>
      </c>
      <c r="M710" t="str">
        <f t="shared" si="11"/>
        <v>Old Age</v>
      </c>
      <c r="N710" t="s">
        <v>18</v>
      </c>
    </row>
    <row r="711" spans="1:14" x14ac:dyDescent="0.25">
      <c r="A711">
        <v>23712</v>
      </c>
      <c r="B711" t="s">
        <v>37</v>
      </c>
      <c r="C711" t="s">
        <v>38</v>
      </c>
      <c r="D711" s="3">
        <v>70000</v>
      </c>
      <c r="E711">
        <v>2</v>
      </c>
      <c r="F711" t="s">
        <v>13</v>
      </c>
      <c r="G711" t="s">
        <v>28</v>
      </c>
      <c r="H711" t="s">
        <v>15</v>
      </c>
      <c r="I711">
        <v>1</v>
      </c>
      <c r="J711" t="s">
        <v>46</v>
      </c>
      <c r="K711" t="s">
        <v>32</v>
      </c>
      <c r="L711">
        <v>59</v>
      </c>
      <c r="M711" t="str">
        <f t="shared" si="11"/>
        <v>Old Age</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3">
        <v>70000</v>
      </c>
      <c r="E713">
        <v>2</v>
      </c>
      <c r="F713" t="s">
        <v>19</v>
      </c>
      <c r="G713" t="s">
        <v>21</v>
      </c>
      <c r="H713" t="s">
        <v>15</v>
      </c>
      <c r="I713">
        <v>1</v>
      </c>
      <c r="J713" t="s">
        <v>46</v>
      </c>
      <c r="K713" t="s">
        <v>32</v>
      </c>
      <c r="L713">
        <v>58</v>
      </c>
      <c r="M713" t="str">
        <f t="shared" si="11"/>
        <v>Old Age</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Old Age</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Old Age</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3">
        <v>60000</v>
      </c>
      <c r="E741">
        <v>2</v>
      </c>
      <c r="F741" t="s">
        <v>19</v>
      </c>
      <c r="G741" t="s">
        <v>21</v>
      </c>
      <c r="H741" t="s">
        <v>15</v>
      </c>
      <c r="I741">
        <v>1</v>
      </c>
      <c r="J741" t="s">
        <v>46</v>
      </c>
      <c r="K741" t="s">
        <v>32</v>
      </c>
      <c r="L741">
        <v>55</v>
      </c>
      <c r="M741" t="str">
        <f t="shared" si="11"/>
        <v>Old Age</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3">
        <v>70000</v>
      </c>
      <c r="E746">
        <v>4</v>
      </c>
      <c r="F746" t="s">
        <v>19</v>
      </c>
      <c r="G746" t="s">
        <v>21</v>
      </c>
      <c r="H746" t="s">
        <v>15</v>
      </c>
      <c r="I746">
        <v>1</v>
      </c>
      <c r="J746" t="s">
        <v>46</v>
      </c>
      <c r="K746" t="s">
        <v>32</v>
      </c>
      <c r="L746">
        <v>56</v>
      </c>
      <c r="M746" t="str">
        <f t="shared" si="11"/>
        <v>Old Age</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3">
        <v>60000</v>
      </c>
      <c r="E748">
        <v>2</v>
      </c>
      <c r="F748" t="s">
        <v>13</v>
      </c>
      <c r="G748" t="s">
        <v>28</v>
      </c>
      <c r="H748" t="s">
        <v>15</v>
      </c>
      <c r="I748">
        <v>0</v>
      </c>
      <c r="J748" t="s">
        <v>46</v>
      </c>
      <c r="K748" t="s">
        <v>32</v>
      </c>
      <c r="L748">
        <v>56</v>
      </c>
      <c r="M748" t="str">
        <f t="shared" si="11"/>
        <v>Old Age</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Old Age</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Old Age</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Old Age</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3">
        <v>60000</v>
      </c>
      <c r="E763">
        <v>5</v>
      </c>
      <c r="F763" t="s">
        <v>13</v>
      </c>
      <c r="G763" t="s">
        <v>28</v>
      </c>
      <c r="H763" t="s">
        <v>15</v>
      </c>
      <c r="I763">
        <v>3</v>
      </c>
      <c r="J763" t="s">
        <v>46</v>
      </c>
      <c r="K763" t="s">
        <v>32</v>
      </c>
      <c r="L763">
        <v>59</v>
      </c>
      <c r="M763" t="str">
        <f t="shared" si="11"/>
        <v>Old Age</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Old Age</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IF(L771&gt;54,"Old Age",IF(L771&gt;=31,"Middle Age",IF(L771&lt;31,"Adolescent","Invalid")))</f>
        <v>Middle Age</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Old Age</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Old Age</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3">
        <v>60000</v>
      </c>
      <c r="E782">
        <v>2</v>
      </c>
      <c r="F782" t="s">
        <v>19</v>
      </c>
      <c r="G782" t="s">
        <v>21</v>
      </c>
      <c r="H782" t="s">
        <v>15</v>
      </c>
      <c r="I782">
        <v>1</v>
      </c>
      <c r="J782" t="s">
        <v>46</v>
      </c>
      <c r="K782" t="s">
        <v>32</v>
      </c>
      <c r="L782">
        <v>55</v>
      </c>
      <c r="M782" t="str">
        <f t="shared" si="12"/>
        <v>Old Age</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Old Age</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Old Age</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Old Age</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Old Age</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Old Age</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3">
        <v>70000</v>
      </c>
      <c r="E814">
        <v>4</v>
      </c>
      <c r="F814" t="s">
        <v>13</v>
      </c>
      <c r="G814" t="s">
        <v>28</v>
      </c>
      <c r="H814" t="s">
        <v>15</v>
      </c>
      <c r="I814">
        <v>2</v>
      </c>
      <c r="J814" t="s">
        <v>46</v>
      </c>
      <c r="K814" t="s">
        <v>32</v>
      </c>
      <c r="L814">
        <v>61</v>
      </c>
      <c r="M814" t="str">
        <f t="shared" si="12"/>
        <v>Old Age</v>
      </c>
      <c r="N814" t="s">
        <v>18</v>
      </c>
    </row>
    <row r="815" spans="1:14" x14ac:dyDescent="0.25">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Old Age</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Old Age</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IF(L835&gt;54,"Old Age",IF(L835&gt;=31,"Middle Age",IF(L835&lt;31,"Adolescent","Invalid")))</f>
        <v>Middle Age</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Old Age</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3">
        <v>40000</v>
      </c>
      <c r="E846">
        <v>5</v>
      </c>
      <c r="F846" t="s">
        <v>27</v>
      </c>
      <c r="G846" t="s">
        <v>21</v>
      </c>
      <c r="H846" t="s">
        <v>15</v>
      </c>
      <c r="I846">
        <v>2</v>
      </c>
      <c r="J846" t="s">
        <v>46</v>
      </c>
      <c r="K846" t="s">
        <v>32</v>
      </c>
      <c r="L846">
        <v>60</v>
      </c>
      <c r="M846" t="str">
        <f t="shared" si="13"/>
        <v>Old Age</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Old Age</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Old Age</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Old Age</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3">
        <v>60000</v>
      </c>
      <c r="E868">
        <v>2</v>
      </c>
      <c r="F868" t="s">
        <v>27</v>
      </c>
      <c r="G868" t="s">
        <v>21</v>
      </c>
      <c r="H868" t="s">
        <v>15</v>
      </c>
      <c r="I868">
        <v>2</v>
      </c>
      <c r="J868" t="s">
        <v>46</v>
      </c>
      <c r="K868" t="s">
        <v>32</v>
      </c>
      <c r="L868">
        <v>55</v>
      </c>
      <c r="M868" t="str">
        <f t="shared" si="13"/>
        <v>Old Age</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3">
        <v>30000</v>
      </c>
      <c r="E870">
        <v>5</v>
      </c>
      <c r="F870" t="s">
        <v>29</v>
      </c>
      <c r="G870" t="s">
        <v>14</v>
      </c>
      <c r="H870" t="s">
        <v>15</v>
      </c>
      <c r="I870">
        <v>3</v>
      </c>
      <c r="J870" t="s">
        <v>46</v>
      </c>
      <c r="K870" t="s">
        <v>32</v>
      </c>
      <c r="L870">
        <v>60</v>
      </c>
      <c r="M870" t="str">
        <f t="shared" si="13"/>
        <v>Old Age</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3">
        <v>60000</v>
      </c>
      <c r="E873">
        <v>2</v>
      </c>
      <c r="F873" t="s">
        <v>27</v>
      </c>
      <c r="G873" t="s">
        <v>21</v>
      </c>
      <c r="H873" t="s">
        <v>15</v>
      </c>
      <c r="I873">
        <v>2</v>
      </c>
      <c r="J873" t="s">
        <v>46</v>
      </c>
      <c r="K873" t="s">
        <v>32</v>
      </c>
      <c r="L873">
        <v>55</v>
      </c>
      <c r="M873" t="str">
        <f t="shared" si="13"/>
        <v>Old Age</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Old Age</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Old Age</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Old Age</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Old Age</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Old Age</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Old Age</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IF(L899&gt;54,"Old Age",IF(L899&gt;=31,"Middle Age",IF(L899&lt;31,"Adolescent","Invalid")))</f>
        <v>Adolescent</v>
      </c>
      <c r="N899" t="s">
        <v>18</v>
      </c>
    </row>
    <row r="900" spans="1:14" x14ac:dyDescent="0.25">
      <c r="A900">
        <v>18066</v>
      </c>
      <c r="B900" t="s">
        <v>37</v>
      </c>
      <c r="C900" t="s">
        <v>39</v>
      </c>
      <c r="D900" s="3">
        <v>70000</v>
      </c>
      <c r="E900">
        <v>5</v>
      </c>
      <c r="F900" t="s">
        <v>13</v>
      </c>
      <c r="G900" t="s">
        <v>28</v>
      </c>
      <c r="H900" t="s">
        <v>15</v>
      </c>
      <c r="I900">
        <v>3</v>
      </c>
      <c r="J900" t="s">
        <v>46</v>
      </c>
      <c r="K900" t="s">
        <v>32</v>
      </c>
      <c r="L900">
        <v>60</v>
      </c>
      <c r="M900" t="str">
        <f t="shared" si="14"/>
        <v>Old Age</v>
      </c>
      <c r="N900" t="s">
        <v>15</v>
      </c>
    </row>
    <row r="901" spans="1:14" x14ac:dyDescent="0.25">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Old Age</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3">
        <v>50000</v>
      </c>
      <c r="E909">
        <v>4</v>
      </c>
      <c r="F909" t="s">
        <v>13</v>
      </c>
      <c r="G909" t="s">
        <v>28</v>
      </c>
      <c r="H909" t="s">
        <v>15</v>
      </c>
      <c r="I909">
        <v>2</v>
      </c>
      <c r="J909" t="s">
        <v>46</v>
      </c>
      <c r="K909" t="s">
        <v>32</v>
      </c>
      <c r="L909">
        <v>63</v>
      </c>
      <c r="M909" t="str">
        <f t="shared" si="14"/>
        <v>Old Age</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Old Age</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3">
        <v>60000</v>
      </c>
      <c r="E917">
        <v>3</v>
      </c>
      <c r="F917" t="s">
        <v>31</v>
      </c>
      <c r="G917" t="s">
        <v>28</v>
      </c>
      <c r="H917" t="s">
        <v>15</v>
      </c>
      <c r="I917">
        <v>2</v>
      </c>
      <c r="J917" t="s">
        <v>46</v>
      </c>
      <c r="K917" t="s">
        <v>32</v>
      </c>
      <c r="L917">
        <v>64</v>
      </c>
      <c r="M917" t="str">
        <f t="shared" si="14"/>
        <v>Old Age</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3">
        <v>40000</v>
      </c>
      <c r="E921">
        <v>4</v>
      </c>
      <c r="F921" t="s">
        <v>27</v>
      </c>
      <c r="G921" t="s">
        <v>21</v>
      </c>
      <c r="H921" t="s">
        <v>15</v>
      </c>
      <c r="I921">
        <v>2</v>
      </c>
      <c r="J921" t="s">
        <v>46</v>
      </c>
      <c r="K921" t="s">
        <v>32</v>
      </c>
      <c r="L921">
        <v>61</v>
      </c>
      <c r="M921" t="str">
        <f t="shared" si="14"/>
        <v>Old Age</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3">
        <v>40000</v>
      </c>
      <c r="E928">
        <v>2</v>
      </c>
      <c r="F928" t="s">
        <v>27</v>
      </c>
      <c r="G928" t="s">
        <v>21</v>
      </c>
      <c r="H928" t="s">
        <v>15</v>
      </c>
      <c r="I928">
        <v>2</v>
      </c>
      <c r="J928" t="s">
        <v>46</v>
      </c>
      <c r="K928" t="s">
        <v>32</v>
      </c>
      <c r="L928">
        <v>57</v>
      </c>
      <c r="M928" t="str">
        <f t="shared" si="14"/>
        <v>Old Age</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Old Age</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Old Age</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Old Age</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Old Age</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01" si="15">IF(L963&gt;54,"Old Age",IF(L963&gt;=31,"Middle Age",IF(L963&lt;31,"Adolescent","Invalid")))</f>
        <v>Old Age</v>
      </c>
      <c r="N963" t="s">
        <v>18</v>
      </c>
    </row>
    <row r="964" spans="1:14" x14ac:dyDescent="0.25">
      <c r="A964">
        <v>16813</v>
      </c>
      <c r="B964" t="s">
        <v>36</v>
      </c>
      <c r="C964" t="s">
        <v>39</v>
      </c>
      <c r="D964" s="3">
        <v>60000</v>
      </c>
      <c r="E964">
        <v>2</v>
      </c>
      <c r="F964" t="s">
        <v>19</v>
      </c>
      <c r="G964" t="s">
        <v>21</v>
      </c>
      <c r="H964" t="s">
        <v>15</v>
      </c>
      <c r="I964">
        <v>2</v>
      </c>
      <c r="J964" t="s">
        <v>46</v>
      </c>
      <c r="K964" t="s">
        <v>32</v>
      </c>
      <c r="L964">
        <v>55</v>
      </c>
      <c r="M964" t="str">
        <f t="shared" si="15"/>
        <v>Old Age</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Old Age</v>
      </c>
      <c r="N965" t="s">
        <v>15</v>
      </c>
    </row>
    <row r="966" spans="1:14" x14ac:dyDescent="0.25">
      <c r="A966">
        <v>27434</v>
      </c>
      <c r="B966" t="s">
        <v>37</v>
      </c>
      <c r="C966" t="s">
        <v>39</v>
      </c>
      <c r="D966" s="3">
        <v>70000</v>
      </c>
      <c r="E966">
        <v>4</v>
      </c>
      <c r="F966" t="s">
        <v>19</v>
      </c>
      <c r="G966" t="s">
        <v>21</v>
      </c>
      <c r="H966" t="s">
        <v>15</v>
      </c>
      <c r="I966">
        <v>1</v>
      </c>
      <c r="J966" t="s">
        <v>46</v>
      </c>
      <c r="K966" t="s">
        <v>32</v>
      </c>
      <c r="L966">
        <v>56</v>
      </c>
      <c r="M966" t="str">
        <f t="shared" si="15"/>
        <v>Old Age</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Old Age</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3">
        <v>60000</v>
      </c>
      <c r="E978">
        <v>3</v>
      </c>
      <c r="F978" t="s">
        <v>13</v>
      </c>
      <c r="G978" t="s">
        <v>28</v>
      </c>
      <c r="H978" t="s">
        <v>15</v>
      </c>
      <c r="I978">
        <v>2</v>
      </c>
      <c r="J978" t="s">
        <v>46</v>
      </c>
      <c r="K978" t="s">
        <v>32</v>
      </c>
      <c r="L978">
        <v>66</v>
      </c>
      <c r="M978" t="str">
        <f t="shared" si="15"/>
        <v>Old Age</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Old Age</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3">
        <v>40000</v>
      </c>
      <c r="E988">
        <v>5</v>
      </c>
      <c r="F988" t="s">
        <v>27</v>
      </c>
      <c r="G988" t="s">
        <v>21</v>
      </c>
      <c r="H988" t="s">
        <v>15</v>
      </c>
      <c r="I988">
        <v>4</v>
      </c>
      <c r="J988" t="s">
        <v>46</v>
      </c>
      <c r="K988" t="s">
        <v>32</v>
      </c>
      <c r="L988">
        <v>60</v>
      </c>
      <c r="M988" t="str">
        <f t="shared" si="15"/>
        <v>Old Age</v>
      </c>
      <c r="N988" t="s">
        <v>15</v>
      </c>
    </row>
    <row r="989" spans="1:14" x14ac:dyDescent="0.25">
      <c r="A989">
        <v>28972</v>
      </c>
      <c r="B989" t="s">
        <v>37</v>
      </c>
      <c r="C989" t="s">
        <v>38</v>
      </c>
      <c r="D989" s="3">
        <v>60000</v>
      </c>
      <c r="E989">
        <v>3</v>
      </c>
      <c r="F989" t="s">
        <v>31</v>
      </c>
      <c r="G989" t="s">
        <v>28</v>
      </c>
      <c r="H989" t="s">
        <v>15</v>
      </c>
      <c r="I989">
        <v>2</v>
      </c>
      <c r="J989" t="s">
        <v>46</v>
      </c>
      <c r="K989" t="s">
        <v>32</v>
      </c>
      <c r="L989">
        <v>66</v>
      </c>
      <c r="M989" t="str">
        <f t="shared" si="15"/>
        <v>Old Age</v>
      </c>
      <c r="N989" t="s">
        <v>18</v>
      </c>
    </row>
    <row r="990" spans="1:14" x14ac:dyDescent="0.25">
      <c r="A990">
        <v>22730</v>
      </c>
      <c r="B990" t="s">
        <v>36</v>
      </c>
      <c r="C990" t="s">
        <v>39</v>
      </c>
      <c r="D990" s="3">
        <v>70000</v>
      </c>
      <c r="E990">
        <v>5</v>
      </c>
      <c r="F990" t="s">
        <v>13</v>
      </c>
      <c r="G990" t="s">
        <v>28</v>
      </c>
      <c r="H990" t="s">
        <v>15</v>
      </c>
      <c r="I990">
        <v>2</v>
      </c>
      <c r="J990" t="s">
        <v>46</v>
      </c>
      <c r="K990" t="s">
        <v>32</v>
      </c>
      <c r="L990">
        <v>63</v>
      </c>
      <c r="M990" t="str">
        <f t="shared" si="15"/>
        <v>Old Age</v>
      </c>
      <c r="N990" t="s">
        <v>18</v>
      </c>
    </row>
    <row r="991" spans="1:14" x14ac:dyDescent="0.25">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E54F460E-9367-40C3-933D-7BF3A6110D1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CEDD6-5B5E-4D86-B9ED-301F0AC6B5A4}">
  <dimension ref="B3:E49"/>
  <sheetViews>
    <sheetView tabSelected="1" topLeftCell="C1" zoomScale="85" zoomScaleNormal="85" workbookViewId="0">
      <selection activeCell="V35" sqref="V35"/>
    </sheetView>
  </sheetViews>
  <sheetFormatPr defaultRowHeight="15" x14ac:dyDescent="0.25"/>
  <cols>
    <col min="2" max="2" width="35.140625" bestFit="1" customWidth="1"/>
    <col min="3" max="3" width="20.85546875" bestFit="1" customWidth="1"/>
    <col min="4" max="4" width="6.5703125" bestFit="1" customWidth="1"/>
    <col min="5" max="5" width="12.7109375" bestFit="1" customWidth="1"/>
    <col min="6" max="6" width="11.28515625" bestFit="1" customWidth="1"/>
    <col min="7" max="11" width="7.5703125" bestFit="1" customWidth="1"/>
    <col min="12" max="18" width="8.5703125" bestFit="1" customWidth="1"/>
    <col min="19" max="19" width="11.28515625" bestFit="1" customWidth="1"/>
  </cols>
  <sheetData>
    <row r="3" spans="2:5" x14ac:dyDescent="0.25">
      <c r="B3" s="4" t="s">
        <v>45</v>
      </c>
      <c r="C3" s="4" t="s">
        <v>44</v>
      </c>
    </row>
    <row r="4" spans="2:5" x14ac:dyDescent="0.25">
      <c r="B4" s="4" t="s">
        <v>41</v>
      </c>
      <c r="C4" t="s">
        <v>18</v>
      </c>
      <c r="D4" t="s">
        <v>15</v>
      </c>
      <c r="E4" t="s">
        <v>42</v>
      </c>
    </row>
    <row r="5" spans="2:5" x14ac:dyDescent="0.25">
      <c r="B5" s="5" t="s">
        <v>38</v>
      </c>
      <c r="C5" s="3">
        <v>53440</v>
      </c>
      <c r="D5" s="3">
        <v>55774.058577405856</v>
      </c>
      <c r="E5" s="3">
        <v>54580.777096114522</v>
      </c>
    </row>
    <row r="6" spans="2:5" x14ac:dyDescent="0.25">
      <c r="B6" s="5" t="s">
        <v>39</v>
      </c>
      <c r="C6" s="3">
        <v>56208.178438661707</v>
      </c>
      <c r="D6" s="3">
        <v>60123.966942148763</v>
      </c>
      <c r="E6" s="3">
        <v>58062.62230919765</v>
      </c>
    </row>
    <row r="7" spans="2:5" x14ac:dyDescent="0.25">
      <c r="B7" s="5" t="s">
        <v>42</v>
      </c>
      <c r="C7" s="3">
        <v>54874.759152215796</v>
      </c>
      <c r="D7" s="3">
        <v>57962.577962577961</v>
      </c>
      <c r="E7" s="3">
        <v>56360</v>
      </c>
    </row>
    <row r="23" spans="2:5" x14ac:dyDescent="0.25">
      <c r="B23" s="4" t="s">
        <v>43</v>
      </c>
      <c r="C23" s="4" t="s">
        <v>44</v>
      </c>
    </row>
    <row r="24" spans="2:5" x14ac:dyDescent="0.25">
      <c r="B24" s="4" t="s">
        <v>41</v>
      </c>
      <c r="C24" t="s">
        <v>18</v>
      </c>
      <c r="D24" t="s">
        <v>15</v>
      </c>
      <c r="E24" t="s">
        <v>42</v>
      </c>
    </row>
    <row r="25" spans="2:5" x14ac:dyDescent="0.25">
      <c r="B25" s="5" t="s">
        <v>16</v>
      </c>
      <c r="C25">
        <v>166</v>
      </c>
      <c r="D25">
        <v>200</v>
      </c>
      <c r="E25">
        <v>366</v>
      </c>
    </row>
    <row r="26" spans="2:5" x14ac:dyDescent="0.25">
      <c r="B26" s="5" t="s">
        <v>26</v>
      </c>
      <c r="C26">
        <v>92</v>
      </c>
      <c r="D26">
        <v>77</v>
      </c>
      <c r="E26">
        <v>169</v>
      </c>
    </row>
    <row r="27" spans="2:5" x14ac:dyDescent="0.25">
      <c r="B27" s="5" t="s">
        <v>22</v>
      </c>
      <c r="C27">
        <v>67</v>
      </c>
      <c r="D27">
        <v>95</v>
      </c>
      <c r="E27">
        <v>162</v>
      </c>
    </row>
    <row r="28" spans="2:5" x14ac:dyDescent="0.25">
      <c r="B28" s="5" t="s">
        <v>23</v>
      </c>
      <c r="C28">
        <v>116</v>
      </c>
      <c r="D28">
        <v>76</v>
      </c>
      <c r="E28">
        <v>192</v>
      </c>
    </row>
    <row r="29" spans="2:5" x14ac:dyDescent="0.25">
      <c r="B29" s="5" t="s">
        <v>46</v>
      </c>
      <c r="C29">
        <v>78</v>
      </c>
      <c r="D29">
        <v>33</v>
      </c>
      <c r="E29">
        <v>111</v>
      </c>
    </row>
    <row r="30" spans="2:5" x14ac:dyDescent="0.25">
      <c r="B30" s="5" t="s">
        <v>42</v>
      </c>
      <c r="C30">
        <v>519</v>
      </c>
      <c r="D30">
        <v>481</v>
      </c>
      <c r="E30">
        <v>1000</v>
      </c>
    </row>
    <row r="44" spans="2:5" x14ac:dyDescent="0.25">
      <c r="B44" s="4" t="s">
        <v>43</v>
      </c>
      <c r="C44" s="4" t="s">
        <v>44</v>
      </c>
    </row>
    <row r="45" spans="2:5" x14ac:dyDescent="0.25">
      <c r="B45" s="4" t="s">
        <v>41</v>
      </c>
      <c r="C45" t="s">
        <v>15</v>
      </c>
      <c r="D45" t="s">
        <v>18</v>
      </c>
      <c r="E45" t="s">
        <v>42</v>
      </c>
    </row>
    <row r="46" spans="2:5" x14ac:dyDescent="0.25">
      <c r="B46" s="5" t="s">
        <v>48</v>
      </c>
      <c r="C46">
        <v>39</v>
      </c>
      <c r="D46">
        <v>71</v>
      </c>
      <c r="E46">
        <v>110</v>
      </c>
    </row>
    <row r="47" spans="2:5" x14ac:dyDescent="0.25">
      <c r="B47" s="5" t="s">
        <v>47</v>
      </c>
      <c r="C47">
        <v>383</v>
      </c>
      <c r="D47">
        <v>318</v>
      </c>
      <c r="E47">
        <v>701</v>
      </c>
    </row>
    <row r="48" spans="2:5" x14ac:dyDescent="0.25">
      <c r="B48" s="5" t="s">
        <v>49</v>
      </c>
      <c r="C48">
        <v>59</v>
      </c>
      <c r="D48">
        <v>130</v>
      </c>
      <c r="E48">
        <v>189</v>
      </c>
    </row>
    <row r="49" spans="2:5" x14ac:dyDescent="0.25">
      <c r="B49" s="5" t="s">
        <v>42</v>
      </c>
      <c r="C49">
        <v>481</v>
      </c>
      <c r="D49">
        <v>519</v>
      </c>
      <c r="E49">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EE0BE-BD32-4616-8930-0D245333A139}">
  <sheetPr>
    <pageSetUpPr autoPageBreaks="0"/>
  </sheetPr>
  <dimension ref="A1:V5"/>
  <sheetViews>
    <sheetView showGridLines="0" zoomScale="55" zoomScaleNormal="55" workbookViewId="0">
      <selection activeCell="AC7" sqref="AC7"/>
    </sheetView>
  </sheetViews>
  <sheetFormatPr defaultRowHeight="15" x14ac:dyDescent="0.25"/>
  <sheetData>
    <row r="1" spans="1:22" x14ac:dyDescent="0.25">
      <c r="A1" s="6"/>
      <c r="B1" s="6"/>
      <c r="C1" s="6"/>
      <c r="D1" s="6"/>
      <c r="E1" s="6"/>
      <c r="F1" s="6"/>
      <c r="G1" s="6"/>
      <c r="H1" s="6"/>
      <c r="I1" s="6"/>
      <c r="J1" s="6"/>
      <c r="K1" s="6"/>
      <c r="L1" s="7"/>
      <c r="M1" s="7"/>
      <c r="N1" s="7"/>
      <c r="O1" s="7"/>
      <c r="P1" s="7"/>
      <c r="Q1" s="7"/>
      <c r="R1" s="7"/>
      <c r="S1" s="7"/>
      <c r="T1" s="7"/>
      <c r="U1" s="7"/>
      <c r="V1" s="7"/>
    </row>
    <row r="2" spans="1:22" x14ac:dyDescent="0.25">
      <c r="A2" s="6"/>
      <c r="B2" s="6"/>
      <c r="C2" s="6"/>
      <c r="D2" s="6"/>
      <c r="E2" s="6"/>
      <c r="F2" s="6"/>
      <c r="G2" s="6"/>
      <c r="H2" s="6"/>
      <c r="I2" s="6"/>
      <c r="J2" s="6"/>
      <c r="K2" s="6"/>
      <c r="L2" s="7"/>
      <c r="M2" s="7"/>
      <c r="N2" s="7"/>
      <c r="O2" s="7"/>
      <c r="P2" s="7"/>
      <c r="Q2" s="7"/>
      <c r="R2" s="7"/>
      <c r="S2" s="7"/>
      <c r="T2" s="7"/>
      <c r="U2" s="7"/>
      <c r="V2" s="7"/>
    </row>
    <row r="3" spans="1:22" x14ac:dyDescent="0.25">
      <c r="A3" s="6"/>
      <c r="B3" s="6"/>
      <c r="C3" s="6"/>
      <c r="D3" s="6"/>
      <c r="E3" s="6"/>
      <c r="F3" s="6"/>
      <c r="G3" s="6"/>
      <c r="H3" s="6"/>
      <c r="I3" s="6"/>
      <c r="J3" s="6"/>
      <c r="K3" s="6"/>
      <c r="L3" s="7"/>
      <c r="M3" s="7"/>
      <c r="N3" s="7"/>
      <c r="O3" s="7"/>
      <c r="P3" s="7"/>
      <c r="Q3" s="7"/>
      <c r="R3" s="7"/>
      <c r="S3" s="7"/>
      <c r="T3" s="7"/>
      <c r="U3" s="7"/>
      <c r="V3" s="7"/>
    </row>
    <row r="4" spans="1:22" ht="92.25" x14ac:dyDescent="1.35">
      <c r="A4" s="8" t="s">
        <v>50</v>
      </c>
      <c r="B4" s="6"/>
      <c r="C4" s="6"/>
      <c r="D4" s="6"/>
      <c r="E4" s="6"/>
      <c r="F4" s="6"/>
      <c r="G4" s="6"/>
      <c r="H4" s="6"/>
      <c r="I4" s="6"/>
      <c r="J4" s="6"/>
      <c r="K4" s="6"/>
      <c r="L4" s="7"/>
      <c r="M4" s="7"/>
      <c r="N4" s="7"/>
      <c r="O4" s="7"/>
      <c r="P4" s="7"/>
      <c r="Q4" s="7"/>
      <c r="R4" s="7"/>
      <c r="S4" s="7"/>
      <c r="T4" s="7"/>
      <c r="U4" s="7"/>
      <c r="V4" s="7"/>
    </row>
    <row r="5" spans="1:22" ht="46.5" x14ac:dyDescent="0.7">
      <c r="A5" s="9"/>
      <c r="B5" s="6"/>
      <c r="C5" s="6"/>
      <c r="D5" s="6"/>
      <c r="E5" s="6"/>
      <c r="F5" s="6"/>
      <c r="G5" s="6"/>
      <c r="H5" s="6"/>
      <c r="I5" s="6"/>
      <c r="J5" s="6"/>
      <c r="K5" s="6"/>
      <c r="L5" s="7"/>
      <c r="M5" s="7"/>
      <c r="N5" s="7"/>
      <c r="O5" s="7"/>
      <c r="P5" s="7"/>
      <c r="Q5" s="7"/>
      <c r="R5" s="7"/>
      <c r="S5" s="7"/>
      <c r="T5" s="7"/>
      <c r="U5" s="7"/>
      <c r="V5" s="7"/>
    </row>
  </sheetData>
  <pageMargins left="0.7" right="0.7" top="0.75" bottom="0.75" header="0.3" footer="0.3"/>
  <pageSetup orientation="landscape" horizontalDpi="4294967293"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Sahib  Hussain</cp:lastModifiedBy>
  <dcterms:created xsi:type="dcterms:W3CDTF">2022-03-18T02:50:57Z</dcterms:created>
  <dcterms:modified xsi:type="dcterms:W3CDTF">2026-06-03T14:18:00Z</dcterms:modified>
</cp:coreProperties>
</file>